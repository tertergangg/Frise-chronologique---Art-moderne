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tjimb\Downloads\Art - projet frise\frise-art-moderne\donnees\"/>
    </mc:Choice>
  </mc:AlternateContent>
  <xr:revisionPtr revIDLastSave="0" documentId="13_ncr:1_{3BBC40B4-5494-43A5-B32D-BC3DF5721CA8}" xr6:coauthVersionLast="47" xr6:coauthVersionMax="47" xr10:uidLastSave="{00000000-0000-0000-0000-000000000000}"/>
  <bookViews>
    <workbookView xWindow="-120" yWindow="-120" windowWidth="29040" windowHeight="15720" tabRatio="500" activeTab="3" xr2:uid="{00000000-000D-0000-FFFF-FFFF00000000}"/>
  </bookViews>
  <sheets>
    <sheet name="Lisez-moi" sheetId="1" r:id="rId1"/>
    <sheet name="Mouvements" sheetId="2" r:id="rId2"/>
    <sheet name="Artistes" sheetId="3" r:id="rId3"/>
    <sheet name="Œuvres" sheetId="4" r:id="rId4"/>
    <sheet name="Événements" sheetId="5" r:id="rId5"/>
    <sheet name="Influences" sheetId="6" r:id="rId6"/>
  </sheets>
  <definedNames>
    <definedName name="_xlnm._FilterDatabase" localSheetId="2" hidden="1">Artistes!$A$1:$N$301</definedName>
    <definedName name="_xlnm._FilterDatabase" localSheetId="4" hidden="1">Événements!$A$1:$H$301</definedName>
    <definedName name="_xlnm._FilterDatabase" localSheetId="5" hidden="1">Influences!$A$1:$H$301</definedName>
    <definedName name="_xlnm._FilterDatabase" localSheetId="1" hidden="1">Mouvements!$A$1:$L$301</definedName>
    <definedName name="_xlnm._FilterDatabase" localSheetId="3" hidden="1">Œuvres!$A$1:$Q$301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301" i="6" l="1"/>
  <c r="C301" i="6"/>
  <c r="E300" i="6"/>
  <c r="C300" i="6"/>
  <c r="E299" i="6"/>
  <c r="C299" i="6"/>
  <c r="E298" i="6"/>
  <c r="C298" i="6"/>
  <c r="E297" i="6"/>
  <c r="C297" i="6"/>
  <c r="E296" i="6"/>
  <c r="C296" i="6"/>
  <c r="E295" i="6"/>
  <c r="C295" i="6"/>
  <c r="E294" i="6"/>
  <c r="C294" i="6"/>
  <c r="E293" i="6"/>
  <c r="C293" i="6"/>
  <c r="E292" i="6"/>
  <c r="C292" i="6"/>
  <c r="E291" i="6"/>
  <c r="C291" i="6"/>
  <c r="E290" i="6"/>
  <c r="C290" i="6"/>
  <c r="E289" i="6"/>
  <c r="C289" i="6"/>
  <c r="E288" i="6"/>
  <c r="C288" i="6"/>
  <c r="E287" i="6"/>
  <c r="C287" i="6"/>
  <c r="E286" i="6"/>
  <c r="C286" i="6"/>
  <c r="E285" i="6"/>
  <c r="C285" i="6"/>
  <c r="E284" i="6"/>
  <c r="C284" i="6"/>
  <c r="E283" i="6"/>
  <c r="C283" i="6"/>
  <c r="E282" i="6"/>
  <c r="C282" i="6"/>
  <c r="E281" i="6"/>
  <c r="C281" i="6"/>
  <c r="E280" i="6"/>
  <c r="C280" i="6"/>
  <c r="E279" i="6"/>
  <c r="C279" i="6"/>
  <c r="E278" i="6"/>
  <c r="C278" i="6"/>
  <c r="E277" i="6"/>
  <c r="C277" i="6"/>
  <c r="E276" i="6"/>
  <c r="C276" i="6"/>
  <c r="E275" i="6"/>
  <c r="C275" i="6"/>
  <c r="E274" i="6"/>
  <c r="C274" i="6"/>
  <c r="E273" i="6"/>
  <c r="C273" i="6"/>
  <c r="E272" i="6"/>
  <c r="C272" i="6"/>
  <c r="E271" i="6"/>
  <c r="C271" i="6"/>
  <c r="E270" i="6"/>
  <c r="C270" i="6"/>
  <c r="E269" i="6"/>
  <c r="C269" i="6"/>
  <c r="E268" i="6"/>
  <c r="C268" i="6"/>
  <c r="E267" i="6"/>
  <c r="C267" i="6"/>
  <c r="E266" i="6"/>
  <c r="C266" i="6"/>
  <c r="E265" i="6"/>
  <c r="C265" i="6"/>
  <c r="E264" i="6"/>
  <c r="C264" i="6"/>
  <c r="E263" i="6"/>
  <c r="C263" i="6"/>
  <c r="E262" i="6"/>
  <c r="C262" i="6"/>
  <c r="E261" i="6"/>
  <c r="C261" i="6"/>
  <c r="E260" i="6"/>
  <c r="C260" i="6"/>
  <c r="E259" i="6"/>
  <c r="C259" i="6"/>
  <c r="E258" i="6"/>
  <c r="C258" i="6"/>
  <c r="E257" i="6"/>
  <c r="C257" i="6"/>
  <c r="E256" i="6"/>
  <c r="C256" i="6"/>
  <c r="E255" i="6"/>
  <c r="C255" i="6"/>
  <c r="E254" i="6"/>
  <c r="C254" i="6"/>
  <c r="E253" i="6"/>
  <c r="C253" i="6"/>
  <c r="E252" i="6"/>
  <c r="C252" i="6"/>
  <c r="E251" i="6"/>
  <c r="C251" i="6"/>
  <c r="E250" i="6"/>
  <c r="C250" i="6"/>
  <c r="E249" i="6"/>
  <c r="C249" i="6"/>
  <c r="E248" i="6"/>
  <c r="C248" i="6"/>
  <c r="E247" i="6"/>
  <c r="C247" i="6"/>
  <c r="E246" i="6"/>
  <c r="C246" i="6"/>
  <c r="E245" i="6"/>
  <c r="C245" i="6"/>
  <c r="E244" i="6"/>
  <c r="C244" i="6"/>
  <c r="E243" i="6"/>
  <c r="C243" i="6"/>
  <c r="E242" i="6"/>
  <c r="C242" i="6"/>
  <c r="E241" i="6"/>
  <c r="C241" i="6"/>
  <c r="E240" i="6"/>
  <c r="C240" i="6"/>
  <c r="E239" i="6"/>
  <c r="C239" i="6"/>
  <c r="E238" i="6"/>
  <c r="C238" i="6"/>
  <c r="E237" i="6"/>
  <c r="C237" i="6"/>
  <c r="E236" i="6"/>
  <c r="C236" i="6"/>
  <c r="E235" i="6"/>
  <c r="C235" i="6"/>
  <c r="E234" i="6"/>
  <c r="C234" i="6"/>
  <c r="E233" i="6"/>
  <c r="C233" i="6"/>
  <c r="E232" i="6"/>
  <c r="C232" i="6"/>
  <c r="E231" i="6"/>
  <c r="C231" i="6"/>
  <c r="E230" i="6"/>
  <c r="C230" i="6"/>
  <c r="E229" i="6"/>
  <c r="C229" i="6"/>
  <c r="E228" i="6"/>
  <c r="C228" i="6"/>
  <c r="E227" i="6"/>
  <c r="C227" i="6"/>
  <c r="E226" i="6"/>
  <c r="C226" i="6"/>
  <c r="E225" i="6"/>
  <c r="C225" i="6"/>
  <c r="E224" i="6"/>
  <c r="C224" i="6"/>
  <c r="E223" i="6"/>
  <c r="C223" i="6"/>
  <c r="E222" i="6"/>
  <c r="C222" i="6"/>
  <c r="E221" i="6"/>
  <c r="C221" i="6"/>
  <c r="E220" i="6"/>
  <c r="C220" i="6"/>
  <c r="E219" i="6"/>
  <c r="C219" i="6"/>
  <c r="E218" i="6"/>
  <c r="C218" i="6"/>
  <c r="E217" i="6"/>
  <c r="C217" i="6"/>
  <c r="E216" i="6"/>
  <c r="C216" i="6"/>
  <c r="E215" i="6"/>
  <c r="C215" i="6"/>
  <c r="E214" i="6"/>
  <c r="C214" i="6"/>
  <c r="E213" i="6"/>
  <c r="C213" i="6"/>
  <c r="E212" i="6"/>
  <c r="C212" i="6"/>
  <c r="E211" i="6"/>
  <c r="C211" i="6"/>
  <c r="E210" i="6"/>
  <c r="C210" i="6"/>
  <c r="E209" i="6"/>
  <c r="C209" i="6"/>
  <c r="E208" i="6"/>
  <c r="C208" i="6"/>
  <c r="E207" i="6"/>
  <c r="C207" i="6"/>
  <c r="E206" i="6"/>
  <c r="C206" i="6"/>
  <c r="E205" i="6"/>
  <c r="C205" i="6"/>
  <c r="E204" i="6"/>
  <c r="C204" i="6"/>
  <c r="E203" i="6"/>
  <c r="C203" i="6"/>
  <c r="E202" i="6"/>
  <c r="C202" i="6"/>
  <c r="E201" i="6"/>
  <c r="C201" i="6"/>
  <c r="E200" i="6"/>
  <c r="C200" i="6"/>
  <c r="E199" i="6"/>
  <c r="C199" i="6"/>
  <c r="E198" i="6"/>
  <c r="C198" i="6"/>
  <c r="E197" i="6"/>
  <c r="C197" i="6"/>
  <c r="E196" i="6"/>
  <c r="C196" i="6"/>
  <c r="E195" i="6"/>
  <c r="C195" i="6"/>
  <c r="E194" i="6"/>
  <c r="C194" i="6"/>
  <c r="E193" i="6"/>
  <c r="C193" i="6"/>
  <c r="E192" i="6"/>
  <c r="C192" i="6"/>
  <c r="E191" i="6"/>
  <c r="C191" i="6"/>
  <c r="E190" i="6"/>
  <c r="C190" i="6"/>
  <c r="E189" i="6"/>
  <c r="C189" i="6"/>
  <c r="E188" i="6"/>
  <c r="C188" i="6"/>
  <c r="E187" i="6"/>
  <c r="C187" i="6"/>
  <c r="E186" i="6"/>
  <c r="C186" i="6"/>
  <c r="E185" i="6"/>
  <c r="C185" i="6"/>
  <c r="E184" i="6"/>
  <c r="C184" i="6"/>
  <c r="E183" i="6"/>
  <c r="C183" i="6"/>
  <c r="E182" i="6"/>
  <c r="C182" i="6"/>
  <c r="E181" i="6"/>
  <c r="C181" i="6"/>
  <c r="E180" i="6"/>
  <c r="C180" i="6"/>
  <c r="E179" i="6"/>
  <c r="C179" i="6"/>
  <c r="E178" i="6"/>
  <c r="C178" i="6"/>
  <c r="E177" i="6"/>
  <c r="C177" i="6"/>
  <c r="E176" i="6"/>
  <c r="C176" i="6"/>
  <c r="E175" i="6"/>
  <c r="C175" i="6"/>
  <c r="E174" i="6"/>
  <c r="C174" i="6"/>
  <c r="E173" i="6"/>
  <c r="C173" i="6"/>
  <c r="E172" i="6"/>
  <c r="C172" i="6"/>
  <c r="E171" i="6"/>
  <c r="C171" i="6"/>
  <c r="E170" i="6"/>
  <c r="C170" i="6"/>
  <c r="E169" i="6"/>
  <c r="C169" i="6"/>
  <c r="E168" i="6"/>
  <c r="C168" i="6"/>
  <c r="E167" i="6"/>
  <c r="C167" i="6"/>
  <c r="E166" i="6"/>
  <c r="C166" i="6"/>
  <c r="E165" i="6"/>
  <c r="C165" i="6"/>
  <c r="E164" i="6"/>
  <c r="C164" i="6"/>
  <c r="E163" i="6"/>
  <c r="C163" i="6"/>
  <c r="E162" i="6"/>
  <c r="C162" i="6"/>
  <c r="E161" i="6"/>
  <c r="C161" i="6"/>
  <c r="E160" i="6"/>
  <c r="C160" i="6"/>
  <c r="E159" i="6"/>
  <c r="C159" i="6"/>
  <c r="E158" i="6"/>
  <c r="C158" i="6"/>
  <c r="E157" i="6"/>
  <c r="C157" i="6"/>
  <c r="E156" i="6"/>
  <c r="C156" i="6"/>
  <c r="E155" i="6"/>
  <c r="C155" i="6"/>
  <c r="E154" i="6"/>
  <c r="C154" i="6"/>
  <c r="E153" i="6"/>
  <c r="C153" i="6"/>
  <c r="E152" i="6"/>
  <c r="C152" i="6"/>
  <c r="E151" i="6"/>
  <c r="C151" i="6"/>
  <c r="E150" i="6"/>
  <c r="C150" i="6"/>
  <c r="E149" i="6"/>
  <c r="C149" i="6"/>
  <c r="E148" i="6"/>
  <c r="C148" i="6"/>
  <c r="E147" i="6"/>
  <c r="C147" i="6"/>
  <c r="E146" i="6"/>
  <c r="C146" i="6"/>
  <c r="E145" i="6"/>
  <c r="C145" i="6"/>
  <c r="E144" i="6"/>
  <c r="C144" i="6"/>
  <c r="E143" i="6"/>
  <c r="C143" i="6"/>
  <c r="E142" i="6"/>
  <c r="C142" i="6"/>
  <c r="E141" i="6"/>
  <c r="C141" i="6"/>
  <c r="E140" i="6"/>
  <c r="C140" i="6"/>
  <c r="E139" i="6"/>
  <c r="C139" i="6"/>
  <c r="E138" i="6"/>
  <c r="C138" i="6"/>
  <c r="E137" i="6"/>
  <c r="C137" i="6"/>
  <c r="E136" i="6"/>
  <c r="C136" i="6"/>
  <c r="E135" i="6"/>
  <c r="C135" i="6"/>
  <c r="E134" i="6"/>
  <c r="C134" i="6"/>
  <c r="E133" i="6"/>
  <c r="C133" i="6"/>
  <c r="E132" i="6"/>
  <c r="C132" i="6"/>
  <c r="E131" i="6"/>
  <c r="C131" i="6"/>
  <c r="E130" i="6"/>
  <c r="C130" i="6"/>
  <c r="E129" i="6"/>
  <c r="C129" i="6"/>
  <c r="E128" i="6"/>
  <c r="C128" i="6"/>
  <c r="E127" i="6"/>
  <c r="C127" i="6"/>
  <c r="E126" i="6"/>
  <c r="C126" i="6"/>
  <c r="E125" i="6"/>
  <c r="C125" i="6"/>
  <c r="E124" i="6"/>
  <c r="C124" i="6"/>
  <c r="E123" i="6"/>
  <c r="C123" i="6"/>
  <c r="E122" i="6"/>
  <c r="C122" i="6"/>
  <c r="E121" i="6"/>
  <c r="C121" i="6"/>
  <c r="E120" i="6"/>
  <c r="C120" i="6"/>
  <c r="E119" i="6"/>
  <c r="C119" i="6"/>
  <c r="E118" i="6"/>
  <c r="C118" i="6"/>
  <c r="E117" i="6"/>
  <c r="C117" i="6"/>
  <c r="E116" i="6"/>
  <c r="C116" i="6"/>
  <c r="E115" i="6"/>
  <c r="C115" i="6"/>
  <c r="E114" i="6"/>
  <c r="C114" i="6"/>
  <c r="E113" i="6"/>
  <c r="C113" i="6"/>
  <c r="E112" i="6"/>
  <c r="C112" i="6"/>
  <c r="E111" i="6"/>
  <c r="C111" i="6"/>
  <c r="E110" i="6"/>
  <c r="C110" i="6"/>
  <c r="E109" i="6"/>
  <c r="C109" i="6"/>
  <c r="E108" i="6"/>
  <c r="C108" i="6"/>
  <c r="E107" i="6"/>
  <c r="C107" i="6"/>
  <c r="E106" i="6"/>
  <c r="C106" i="6"/>
  <c r="E105" i="6"/>
  <c r="C105" i="6"/>
  <c r="E104" i="6"/>
  <c r="C104" i="6"/>
  <c r="E103" i="6"/>
  <c r="C103" i="6"/>
  <c r="E102" i="6"/>
  <c r="C102" i="6"/>
  <c r="E101" i="6"/>
  <c r="C101" i="6"/>
  <c r="E100" i="6"/>
  <c r="C100" i="6"/>
  <c r="E99" i="6"/>
  <c r="C99" i="6"/>
  <c r="E98" i="6"/>
  <c r="C98" i="6"/>
  <c r="E97" i="6"/>
  <c r="C97" i="6"/>
  <c r="E96" i="6"/>
  <c r="C96" i="6"/>
  <c r="E95" i="6"/>
  <c r="C95" i="6"/>
  <c r="E94" i="6"/>
  <c r="C94" i="6"/>
  <c r="E93" i="6"/>
  <c r="C93" i="6"/>
  <c r="E92" i="6"/>
  <c r="C92" i="6"/>
  <c r="E91" i="6"/>
  <c r="C91" i="6"/>
  <c r="E90" i="6"/>
  <c r="C90" i="6"/>
  <c r="E89" i="6"/>
  <c r="C89" i="6"/>
  <c r="E88" i="6"/>
  <c r="C88" i="6"/>
  <c r="E87" i="6"/>
  <c r="C87" i="6"/>
  <c r="E86" i="6"/>
  <c r="C86" i="6"/>
  <c r="E85" i="6"/>
  <c r="C85" i="6"/>
  <c r="E84" i="6"/>
  <c r="C84" i="6"/>
  <c r="E83" i="6"/>
  <c r="C83" i="6"/>
  <c r="E82" i="6"/>
  <c r="C82" i="6"/>
  <c r="E81" i="6"/>
  <c r="C81" i="6"/>
  <c r="E80" i="6"/>
  <c r="C80" i="6"/>
  <c r="E79" i="6"/>
  <c r="C79" i="6"/>
  <c r="E78" i="6"/>
  <c r="C78" i="6"/>
  <c r="E77" i="6"/>
  <c r="C77" i="6"/>
  <c r="E76" i="6"/>
  <c r="C76" i="6"/>
  <c r="E75" i="6"/>
  <c r="C75" i="6"/>
  <c r="E74" i="6"/>
  <c r="C74" i="6"/>
  <c r="E73" i="6"/>
  <c r="C73" i="6"/>
  <c r="E72" i="6"/>
  <c r="C72" i="6"/>
  <c r="E71" i="6"/>
  <c r="C71" i="6"/>
  <c r="E70" i="6"/>
  <c r="C70" i="6"/>
  <c r="E69" i="6"/>
  <c r="C69" i="6"/>
  <c r="E68" i="6"/>
  <c r="C68" i="6"/>
  <c r="E67" i="6"/>
  <c r="C67" i="6"/>
  <c r="E66" i="6"/>
  <c r="C66" i="6"/>
  <c r="E65" i="6"/>
  <c r="C65" i="6"/>
  <c r="E64" i="6"/>
  <c r="C64" i="6"/>
  <c r="E63" i="6"/>
  <c r="C63" i="6"/>
  <c r="E62" i="6"/>
  <c r="C62" i="6"/>
  <c r="E61" i="6"/>
  <c r="C61" i="6"/>
  <c r="E60" i="6"/>
  <c r="C60" i="6"/>
  <c r="E59" i="6"/>
  <c r="C59" i="6"/>
  <c r="E58" i="6"/>
  <c r="C58" i="6"/>
  <c r="E57" i="6"/>
  <c r="C57" i="6"/>
  <c r="E56" i="6"/>
  <c r="C56" i="6"/>
  <c r="E55" i="6"/>
  <c r="C55" i="6"/>
  <c r="E54" i="6"/>
  <c r="C54" i="6"/>
  <c r="E53" i="6"/>
  <c r="C53" i="6"/>
  <c r="E52" i="6"/>
  <c r="C52" i="6"/>
  <c r="E51" i="6"/>
  <c r="C51" i="6"/>
  <c r="E50" i="6"/>
  <c r="C50" i="6"/>
  <c r="E49" i="6"/>
  <c r="C49" i="6"/>
  <c r="E48" i="6"/>
  <c r="C48" i="6"/>
  <c r="E47" i="6"/>
  <c r="C47" i="6"/>
  <c r="E46" i="6"/>
  <c r="C46" i="6"/>
  <c r="E45" i="6"/>
  <c r="C45" i="6"/>
  <c r="E44" i="6"/>
  <c r="C44" i="6"/>
  <c r="E43" i="6"/>
  <c r="C43" i="6"/>
  <c r="E42" i="6"/>
  <c r="C42" i="6"/>
  <c r="E41" i="6"/>
  <c r="C41" i="6"/>
  <c r="E40" i="6"/>
  <c r="C40" i="6"/>
  <c r="E39" i="6"/>
  <c r="C39" i="6"/>
  <c r="E38" i="6"/>
  <c r="C38" i="6"/>
  <c r="E37" i="6"/>
  <c r="C37" i="6"/>
  <c r="E36" i="6"/>
  <c r="C36" i="6"/>
  <c r="E35" i="6"/>
  <c r="C35" i="6"/>
  <c r="E34" i="6"/>
  <c r="C34" i="6"/>
  <c r="E33" i="6"/>
  <c r="C33" i="6"/>
  <c r="E32" i="6"/>
  <c r="C32" i="6"/>
  <c r="E31" i="6"/>
  <c r="C31" i="6"/>
  <c r="E30" i="6"/>
  <c r="C30" i="6"/>
  <c r="E29" i="6"/>
  <c r="C29" i="6"/>
  <c r="E28" i="6"/>
  <c r="C28" i="6"/>
  <c r="E27" i="6"/>
  <c r="C27" i="6"/>
  <c r="E26" i="6"/>
  <c r="C26" i="6"/>
  <c r="E25" i="6"/>
  <c r="C25" i="6"/>
  <c r="E24" i="6"/>
  <c r="C24" i="6"/>
  <c r="E23" i="6"/>
  <c r="C23" i="6"/>
  <c r="E22" i="6"/>
  <c r="C22" i="6"/>
  <c r="E21" i="6"/>
  <c r="C21" i="6"/>
  <c r="E20" i="6"/>
  <c r="C20" i="6"/>
  <c r="E19" i="6"/>
  <c r="C19" i="6"/>
  <c r="E18" i="6"/>
  <c r="C18" i="6"/>
  <c r="E17" i="6"/>
  <c r="C17" i="6"/>
  <c r="E16" i="6"/>
  <c r="C16" i="6"/>
  <c r="E15" i="6"/>
  <c r="C15" i="6"/>
  <c r="E14" i="6"/>
  <c r="C14" i="6"/>
  <c r="E13" i="6"/>
  <c r="C13" i="6"/>
  <c r="E12" i="6"/>
  <c r="C12" i="6"/>
  <c r="E11" i="6"/>
  <c r="C11" i="6"/>
  <c r="E10" i="6"/>
  <c r="C10" i="6"/>
  <c r="E9" i="6"/>
  <c r="C9" i="6"/>
  <c r="E8" i="6"/>
  <c r="C8" i="6"/>
  <c r="E7" i="6"/>
  <c r="C7" i="6"/>
  <c r="E6" i="6"/>
  <c r="C6" i="6"/>
  <c r="E5" i="6"/>
  <c r="C5" i="6"/>
  <c r="E4" i="6"/>
  <c r="C4" i="6"/>
  <c r="E3" i="6"/>
  <c r="C3" i="6"/>
  <c r="E2" i="6"/>
  <c r="C2" i="6"/>
  <c r="P301" i="4"/>
  <c r="N301" i="4"/>
  <c r="D301" i="4"/>
  <c r="P300" i="4"/>
  <c r="N300" i="4"/>
  <c r="D300" i="4"/>
  <c r="P299" i="4"/>
  <c r="N299" i="4"/>
  <c r="D299" i="4"/>
  <c r="P298" i="4"/>
  <c r="N298" i="4"/>
  <c r="D298" i="4"/>
  <c r="P297" i="4"/>
  <c r="N297" i="4"/>
  <c r="D297" i="4"/>
  <c r="P296" i="4"/>
  <c r="N296" i="4"/>
  <c r="D296" i="4"/>
  <c r="P295" i="4"/>
  <c r="N295" i="4"/>
  <c r="D295" i="4"/>
  <c r="P294" i="4"/>
  <c r="N294" i="4"/>
  <c r="D294" i="4"/>
  <c r="P293" i="4"/>
  <c r="N293" i="4"/>
  <c r="D293" i="4"/>
  <c r="P292" i="4"/>
  <c r="N292" i="4"/>
  <c r="D292" i="4"/>
  <c r="P291" i="4"/>
  <c r="N291" i="4"/>
  <c r="D291" i="4"/>
  <c r="P290" i="4"/>
  <c r="N290" i="4"/>
  <c r="D290" i="4"/>
  <c r="P289" i="4"/>
  <c r="N289" i="4"/>
  <c r="D289" i="4"/>
  <c r="P288" i="4"/>
  <c r="N288" i="4"/>
  <c r="D288" i="4"/>
  <c r="P287" i="4"/>
  <c r="N287" i="4"/>
  <c r="D287" i="4"/>
  <c r="P286" i="4"/>
  <c r="N286" i="4"/>
  <c r="D286" i="4"/>
  <c r="P285" i="4"/>
  <c r="N285" i="4"/>
  <c r="D285" i="4"/>
  <c r="P284" i="4"/>
  <c r="N284" i="4"/>
  <c r="D284" i="4"/>
  <c r="P283" i="4"/>
  <c r="N283" i="4"/>
  <c r="D283" i="4"/>
  <c r="P282" i="4"/>
  <c r="N282" i="4"/>
  <c r="D282" i="4"/>
  <c r="P281" i="4"/>
  <c r="N281" i="4"/>
  <c r="D281" i="4"/>
  <c r="P280" i="4"/>
  <c r="N280" i="4"/>
  <c r="D280" i="4"/>
  <c r="P279" i="4"/>
  <c r="N279" i="4"/>
  <c r="D279" i="4"/>
  <c r="P278" i="4"/>
  <c r="N278" i="4"/>
  <c r="D278" i="4"/>
  <c r="P277" i="4"/>
  <c r="N277" i="4"/>
  <c r="D277" i="4"/>
  <c r="P276" i="4"/>
  <c r="N276" i="4"/>
  <c r="D276" i="4"/>
  <c r="P275" i="4"/>
  <c r="N275" i="4"/>
  <c r="D275" i="4"/>
  <c r="P274" i="4"/>
  <c r="N274" i="4"/>
  <c r="D274" i="4"/>
  <c r="P273" i="4"/>
  <c r="N273" i="4"/>
  <c r="D273" i="4"/>
  <c r="P272" i="4"/>
  <c r="N272" i="4"/>
  <c r="D272" i="4"/>
  <c r="P271" i="4"/>
  <c r="N271" i="4"/>
  <c r="D271" i="4"/>
  <c r="P270" i="4"/>
  <c r="N270" i="4"/>
  <c r="D270" i="4"/>
  <c r="P269" i="4"/>
  <c r="N269" i="4"/>
  <c r="D269" i="4"/>
  <c r="P268" i="4"/>
  <c r="N268" i="4"/>
  <c r="D268" i="4"/>
  <c r="P267" i="4"/>
  <c r="N267" i="4"/>
  <c r="D267" i="4"/>
  <c r="P266" i="4"/>
  <c r="N266" i="4"/>
  <c r="D266" i="4"/>
  <c r="P265" i="4"/>
  <c r="N265" i="4"/>
  <c r="D265" i="4"/>
  <c r="P264" i="4"/>
  <c r="N264" i="4"/>
  <c r="D264" i="4"/>
  <c r="P263" i="4"/>
  <c r="N263" i="4"/>
  <c r="D263" i="4"/>
  <c r="P262" i="4"/>
  <c r="N262" i="4"/>
  <c r="D262" i="4"/>
  <c r="P261" i="4"/>
  <c r="N261" i="4"/>
  <c r="D261" i="4"/>
  <c r="P260" i="4"/>
  <c r="N260" i="4"/>
  <c r="D260" i="4"/>
  <c r="P259" i="4"/>
  <c r="N259" i="4"/>
  <c r="D259" i="4"/>
  <c r="P258" i="4"/>
  <c r="N258" i="4"/>
  <c r="D258" i="4"/>
  <c r="P257" i="4"/>
  <c r="N257" i="4"/>
  <c r="D257" i="4"/>
  <c r="P256" i="4"/>
  <c r="N256" i="4"/>
  <c r="D256" i="4"/>
  <c r="P255" i="4"/>
  <c r="N255" i="4"/>
  <c r="D255" i="4"/>
  <c r="P254" i="4"/>
  <c r="N254" i="4"/>
  <c r="D254" i="4"/>
  <c r="P253" i="4"/>
  <c r="N253" i="4"/>
  <c r="D253" i="4"/>
  <c r="P252" i="4"/>
  <c r="N252" i="4"/>
  <c r="D252" i="4"/>
  <c r="P251" i="4"/>
  <c r="N251" i="4"/>
  <c r="D251" i="4"/>
  <c r="P250" i="4"/>
  <c r="N250" i="4"/>
  <c r="D250" i="4"/>
  <c r="P249" i="4"/>
  <c r="N249" i="4"/>
  <c r="D249" i="4"/>
  <c r="P248" i="4"/>
  <c r="N248" i="4"/>
  <c r="D248" i="4"/>
  <c r="P247" i="4"/>
  <c r="N247" i="4"/>
  <c r="D247" i="4"/>
  <c r="P246" i="4"/>
  <c r="N246" i="4"/>
  <c r="D246" i="4"/>
  <c r="P245" i="4"/>
  <c r="N245" i="4"/>
  <c r="D245" i="4"/>
  <c r="P244" i="4"/>
  <c r="N244" i="4"/>
  <c r="D244" i="4"/>
  <c r="P243" i="4"/>
  <c r="N243" i="4"/>
  <c r="D243" i="4"/>
  <c r="P242" i="4"/>
  <c r="N242" i="4"/>
  <c r="D242" i="4"/>
  <c r="P241" i="4"/>
  <c r="N241" i="4"/>
  <c r="D241" i="4"/>
  <c r="P240" i="4"/>
  <c r="N240" i="4"/>
  <c r="D240" i="4"/>
  <c r="P239" i="4"/>
  <c r="N239" i="4"/>
  <c r="D239" i="4"/>
  <c r="P238" i="4"/>
  <c r="N238" i="4"/>
  <c r="D238" i="4"/>
  <c r="P237" i="4"/>
  <c r="N237" i="4"/>
  <c r="D237" i="4"/>
  <c r="P236" i="4"/>
  <c r="N236" i="4"/>
  <c r="D236" i="4"/>
  <c r="P235" i="4"/>
  <c r="N235" i="4"/>
  <c r="D235" i="4"/>
  <c r="P234" i="4"/>
  <c r="N234" i="4"/>
  <c r="D234" i="4"/>
  <c r="P233" i="4"/>
  <c r="N233" i="4"/>
  <c r="D233" i="4"/>
  <c r="P232" i="4"/>
  <c r="N232" i="4"/>
  <c r="D232" i="4"/>
  <c r="P231" i="4"/>
  <c r="N231" i="4"/>
  <c r="D231" i="4"/>
  <c r="P230" i="4"/>
  <c r="N230" i="4"/>
  <c r="D230" i="4"/>
  <c r="P229" i="4"/>
  <c r="N229" i="4"/>
  <c r="D229" i="4"/>
  <c r="P228" i="4"/>
  <c r="N228" i="4"/>
  <c r="D228" i="4"/>
  <c r="P227" i="4"/>
  <c r="N227" i="4"/>
  <c r="D227" i="4"/>
  <c r="P226" i="4"/>
  <c r="N226" i="4"/>
  <c r="D226" i="4"/>
  <c r="P225" i="4"/>
  <c r="N225" i="4"/>
  <c r="D225" i="4"/>
  <c r="P224" i="4"/>
  <c r="N224" i="4"/>
  <c r="D224" i="4"/>
  <c r="P223" i="4"/>
  <c r="N223" i="4"/>
  <c r="D223" i="4"/>
  <c r="P222" i="4"/>
  <c r="N222" i="4"/>
  <c r="D222" i="4"/>
  <c r="P221" i="4"/>
  <c r="N221" i="4"/>
  <c r="D221" i="4"/>
  <c r="P220" i="4"/>
  <c r="N220" i="4"/>
  <c r="D220" i="4"/>
  <c r="P219" i="4"/>
  <c r="N219" i="4"/>
  <c r="D219" i="4"/>
  <c r="P218" i="4"/>
  <c r="N218" i="4"/>
  <c r="D218" i="4"/>
  <c r="P217" i="4"/>
  <c r="N217" i="4"/>
  <c r="D217" i="4"/>
  <c r="P216" i="4"/>
  <c r="N216" i="4"/>
  <c r="D216" i="4"/>
  <c r="P215" i="4"/>
  <c r="N215" i="4"/>
  <c r="D215" i="4"/>
  <c r="P214" i="4"/>
  <c r="N214" i="4"/>
  <c r="D214" i="4"/>
  <c r="P213" i="4"/>
  <c r="N213" i="4"/>
  <c r="D213" i="4"/>
  <c r="P212" i="4"/>
  <c r="N212" i="4"/>
  <c r="D212" i="4"/>
  <c r="P211" i="4"/>
  <c r="N211" i="4"/>
  <c r="D211" i="4"/>
  <c r="P210" i="4"/>
  <c r="N210" i="4"/>
  <c r="D210" i="4"/>
  <c r="P209" i="4"/>
  <c r="N209" i="4"/>
  <c r="D209" i="4"/>
  <c r="P208" i="4"/>
  <c r="N208" i="4"/>
  <c r="D208" i="4"/>
  <c r="P207" i="4"/>
  <c r="N207" i="4"/>
  <c r="D207" i="4"/>
  <c r="P206" i="4"/>
  <c r="N206" i="4"/>
  <c r="D206" i="4"/>
  <c r="P205" i="4"/>
  <c r="N205" i="4"/>
  <c r="D205" i="4"/>
  <c r="P204" i="4"/>
  <c r="N204" i="4"/>
  <c r="D204" i="4"/>
  <c r="P203" i="4"/>
  <c r="N203" i="4"/>
  <c r="D203" i="4"/>
  <c r="P202" i="4"/>
  <c r="N202" i="4"/>
  <c r="D202" i="4"/>
  <c r="P201" i="4"/>
  <c r="N201" i="4"/>
  <c r="D201" i="4"/>
  <c r="P200" i="4"/>
  <c r="N200" i="4"/>
  <c r="D200" i="4"/>
  <c r="P199" i="4"/>
  <c r="N199" i="4"/>
  <c r="D199" i="4"/>
  <c r="P198" i="4"/>
  <c r="N198" i="4"/>
  <c r="D198" i="4"/>
  <c r="P197" i="4"/>
  <c r="N197" i="4"/>
  <c r="D197" i="4"/>
  <c r="P196" i="4"/>
  <c r="N196" i="4"/>
  <c r="D196" i="4"/>
  <c r="P195" i="4"/>
  <c r="N195" i="4"/>
  <c r="D195" i="4"/>
  <c r="P194" i="4"/>
  <c r="N194" i="4"/>
  <c r="D194" i="4"/>
  <c r="P193" i="4"/>
  <c r="N193" i="4"/>
  <c r="D193" i="4"/>
  <c r="P192" i="4"/>
  <c r="N192" i="4"/>
  <c r="D192" i="4"/>
  <c r="P191" i="4"/>
  <c r="N191" i="4"/>
  <c r="D191" i="4"/>
  <c r="P190" i="4"/>
  <c r="N190" i="4"/>
  <c r="D190" i="4"/>
  <c r="P189" i="4"/>
  <c r="N189" i="4"/>
  <c r="D189" i="4"/>
  <c r="P188" i="4"/>
  <c r="N188" i="4"/>
  <c r="D188" i="4"/>
  <c r="P187" i="4"/>
  <c r="N187" i="4"/>
  <c r="D187" i="4"/>
  <c r="P186" i="4"/>
  <c r="N186" i="4"/>
  <c r="D186" i="4"/>
  <c r="P185" i="4"/>
  <c r="N185" i="4"/>
  <c r="D185" i="4"/>
  <c r="P184" i="4"/>
  <c r="N184" i="4"/>
  <c r="D184" i="4"/>
  <c r="P183" i="4"/>
  <c r="N183" i="4"/>
  <c r="D183" i="4"/>
  <c r="P182" i="4"/>
  <c r="N182" i="4"/>
  <c r="D182" i="4"/>
  <c r="P181" i="4"/>
  <c r="N181" i="4"/>
  <c r="D181" i="4"/>
  <c r="P180" i="4"/>
  <c r="N180" i="4"/>
  <c r="D180" i="4"/>
  <c r="P179" i="4"/>
  <c r="N179" i="4"/>
  <c r="D179" i="4"/>
  <c r="P178" i="4"/>
  <c r="N178" i="4"/>
  <c r="D178" i="4"/>
  <c r="P177" i="4"/>
  <c r="N177" i="4"/>
  <c r="D177" i="4"/>
  <c r="P176" i="4"/>
  <c r="N176" i="4"/>
  <c r="D176" i="4"/>
  <c r="P175" i="4"/>
  <c r="N175" i="4"/>
  <c r="D175" i="4"/>
  <c r="P174" i="4"/>
  <c r="N174" i="4"/>
  <c r="D174" i="4"/>
  <c r="P173" i="4"/>
  <c r="N173" i="4"/>
  <c r="D173" i="4"/>
  <c r="P172" i="4"/>
  <c r="N172" i="4"/>
  <c r="D172" i="4"/>
  <c r="P171" i="4"/>
  <c r="N171" i="4"/>
  <c r="D171" i="4"/>
  <c r="P170" i="4"/>
  <c r="N170" i="4"/>
  <c r="D170" i="4"/>
  <c r="P169" i="4"/>
  <c r="N169" i="4"/>
  <c r="D169" i="4"/>
  <c r="P168" i="4"/>
  <c r="N168" i="4"/>
  <c r="D168" i="4"/>
  <c r="P167" i="4"/>
  <c r="N167" i="4"/>
  <c r="D167" i="4"/>
  <c r="P166" i="4"/>
  <c r="N166" i="4"/>
  <c r="D166" i="4"/>
  <c r="P165" i="4"/>
  <c r="N165" i="4"/>
  <c r="D165" i="4"/>
  <c r="P164" i="4"/>
  <c r="N164" i="4"/>
  <c r="D164" i="4"/>
  <c r="P163" i="4"/>
  <c r="N163" i="4"/>
  <c r="D163" i="4"/>
  <c r="P162" i="4"/>
  <c r="N162" i="4"/>
  <c r="D162" i="4"/>
  <c r="P161" i="4"/>
  <c r="N161" i="4"/>
  <c r="D161" i="4"/>
  <c r="P160" i="4"/>
  <c r="N160" i="4"/>
  <c r="D160" i="4"/>
  <c r="P159" i="4"/>
  <c r="N159" i="4"/>
  <c r="D159" i="4"/>
  <c r="P158" i="4"/>
  <c r="N158" i="4"/>
  <c r="D158" i="4"/>
  <c r="P157" i="4"/>
  <c r="N157" i="4"/>
  <c r="D157" i="4"/>
  <c r="P156" i="4"/>
  <c r="N156" i="4"/>
  <c r="D156" i="4"/>
  <c r="P155" i="4"/>
  <c r="N155" i="4"/>
  <c r="D155" i="4"/>
  <c r="P154" i="4"/>
  <c r="N154" i="4"/>
  <c r="D154" i="4"/>
  <c r="P153" i="4"/>
  <c r="N153" i="4"/>
  <c r="D153" i="4"/>
  <c r="P152" i="4"/>
  <c r="N152" i="4"/>
  <c r="D152" i="4"/>
  <c r="P151" i="4"/>
  <c r="N151" i="4"/>
  <c r="D151" i="4"/>
  <c r="P150" i="4"/>
  <c r="N150" i="4"/>
  <c r="D150" i="4"/>
  <c r="P149" i="4"/>
  <c r="N149" i="4"/>
  <c r="D149" i="4"/>
  <c r="P148" i="4"/>
  <c r="N148" i="4"/>
  <c r="D148" i="4"/>
  <c r="P147" i="4"/>
  <c r="N147" i="4"/>
  <c r="D147" i="4"/>
  <c r="P146" i="4"/>
  <c r="N146" i="4"/>
  <c r="D146" i="4"/>
  <c r="P145" i="4"/>
  <c r="N145" i="4"/>
  <c r="D145" i="4"/>
  <c r="P144" i="4"/>
  <c r="N144" i="4"/>
  <c r="D144" i="4"/>
  <c r="P143" i="4"/>
  <c r="N143" i="4"/>
  <c r="D143" i="4"/>
  <c r="P142" i="4"/>
  <c r="N142" i="4"/>
  <c r="D142" i="4"/>
  <c r="P141" i="4"/>
  <c r="N141" i="4"/>
  <c r="D141" i="4"/>
  <c r="P140" i="4"/>
  <c r="N140" i="4"/>
  <c r="D140" i="4"/>
  <c r="P139" i="4"/>
  <c r="N139" i="4"/>
  <c r="D139" i="4"/>
  <c r="P138" i="4"/>
  <c r="N138" i="4"/>
  <c r="D138" i="4"/>
  <c r="P137" i="4"/>
  <c r="N137" i="4"/>
  <c r="D137" i="4"/>
  <c r="P136" i="4"/>
  <c r="N136" i="4"/>
  <c r="D136" i="4"/>
  <c r="P135" i="4"/>
  <c r="N135" i="4"/>
  <c r="D135" i="4"/>
  <c r="P134" i="4"/>
  <c r="N134" i="4"/>
  <c r="D134" i="4"/>
  <c r="P133" i="4"/>
  <c r="N133" i="4"/>
  <c r="D133" i="4"/>
  <c r="P132" i="4"/>
  <c r="N132" i="4"/>
  <c r="D132" i="4"/>
  <c r="P131" i="4"/>
  <c r="N131" i="4"/>
  <c r="D131" i="4"/>
  <c r="P130" i="4"/>
  <c r="N130" i="4"/>
  <c r="D130" i="4"/>
  <c r="P129" i="4"/>
  <c r="N129" i="4"/>
  <c r="D129" i="4"/>
  <c r="P128" i="4"/>
  <c r="N128" i="4"/>
  <c r="D128" i="4"/>
  <c r="P127" i="4"/>
  <c r="N127" i="4"/>
  <c r="D127" i="4"/>
  <c r="P126" i="4"/>
  <c r="N126" i="4"/>
  <c r="D126" i="4"/>
  <c r="P125" i="4"/>
  <c r="N125" i="4"/>
  <c r="D125" i="4"/>
  <c r="P124" i="4"/>
  <c r="N124" i="4"/>
  <c r="D124" i="4"/>
  <c r="P123" i="4"/>
  <c r="N123" i="4"/>
  <c r="D123" i="4"/>
  <c r="P122" i="4"/>
  <c r="N122" i="4"/>
  <c r="D122" i="4"/>
  <c r="P121" i="4"/>
  <c r="N121" i="4"/>
  <c r="D121" i="4"/>
  <c r="P120" i="4"/>
  <c r="N120" i="4"/>
  <c r="D120" i="4"/>
  <c r="P119" i="4"/>
  <c r="N119" i="4"/>
  <c r="D119" i="4"/>
  <c r="P118" i="4"/>
  <c r="N118" i="4"/>
  <c r="D118" i="4"/>
  <c r="P117" i="4"/>
  <c r="N117" i="4"/>
  <c r="D117" i="4"/>
  <c r="P116" i="4"/>
  <c r="N116" i="4"/>
  <c r="D116" i="4"/>
  <c r="P115" i="4"/>
  <c r="N115" i="4"/>
  <c r="D115" i="4"/>
  <c r="P114" i="4"/>
  <c r="N114" i="4"/>
  <c r="D114" i="4"/>
  <c r="P113" i="4"/>
  <c r="N113" i="4"/>
  <c r="D113" i="4"/>
  <c r="P112" i="4"/>
  <c r="N112" i="4"/>
  <c r="D112" i="4"/>
  <c r="P111" i="4"/>
  <c r="N111" i="4"/>
  <c r="D111" i="4"/>
  <c r="P110" i="4"/>
  <c r="N110" i="4"/>
  <c r="D110" i="4"/>
  <c r="P109" i="4"/>
  <c r="N109" i="4"/>
  <c r="D109" i="4"/>
  <c r="P108" i="4"/>
  <c r="N108" i="4"/>
  <c r="D108" i="4"/>
  <c r="P107" i="4"/>
  <c r="N107" i="4"/>
  <c r="D107" i="4"/>
  <c r="P106" i="4"/>
  <c r="N106" i="4"/>
  <c r="D106" i="4"/>
  <c r="N105" i="4"/>
  <c r="D105" i="4"/>
  <c r="N104" i="4"/>
  <c r="D104" i="4"/>
  <c r="N103" i="4"/>
  <c r="D103" i="4"/>
  <c r="N102" i="4"/>
  <c r="D102" i="4"/>
  <c r="N101" i="4"/>
  <c r="D101" i="4"/>
  <c r="N100" i="4"/>
  <c r="D100" i="4"/>
  <c r="N99" i="4"/>
  <c r="D99" i="4"/>
  <c r="N98" i="4"/>
  <c r="D98" i="4"/>
  <c r="N97" i="4"/>
  <c r="D97" i="4"/>
  <c r="N96" i="4"/>
  <c r="D96" i="4"/>
  <c r="N95" i="4"/>
  <c r="D95" i="4"/>
  <c r="N94" i="4"/>
  <c r="D94" i="4"/>
  <c r="N93" i="4"/>
  <c r="D93" i="4"/>
  <c r="N92" i="4"/>
  <c r="D92" i="4"/>
  <c r="N91" i="4"/>
  <c r="D91" i="4"/>
  <c r="N90" i="4"/>
  <c r="D90" i="4"/>
  <c r="N89" i="4"/>
  <c r="D89" i="4"/>
  <c r="N88" i="4"/>
  <c r="D88" i="4"/>
  <c r="N87" i="4"/>
  <c r="D87" i="4"/>
  <c r="N86" i="4"/>
  <c r="D86" i="4"/>
  <c r="N85" i="4"/>
  <c r="D85" i="4"/>
  <c r="N84" i="4"/>
  <c r="D84" i="4"/>
  <c r="N83" i="4"/>
  <c r="D83" i="4"/>
  <c r="N82" i="4"/>
  <c r="D82" i="4"/>
  <c r="N81" i="4"/>
  <c r="D81" i="4"/>
  <c r="N80" i="4"/>
  <c r="D80" i="4"/>
  <c r="N79" i="4"/>
  <c r="D79" i="4"/>
  <c r="N78" i="4"/>
  <c r="D78" i="4"/>
  <c r="N77" i="4"/>
  <c r="D77" i="4"/>
  <c r="N76" i="4"/>
  <c r="D76" i="4"/>
  <c r="N75" i="4"/>
  <c r="D75" i="4"/>
  <c r="N74" i="4"/>
  <c r="D74" i="4"/>
  <c r="N73" i="4"/>
  <c r="D73" i="4"/>
  <c r="N72" i="4"/>
  <c r="D72" i="4"/>
  <c r="N71" i="4"/>
  <c r="D71" i="4"/>
  <c r="N70" i="4"/>
  <c r="D70" i="4"/>
  <c r="N69" i="4"/>
  <c r="D69" i="4"/>
  <c r="N68" i="4"/>
  <c r="D68" i="4"/>
  <c r="N67" i="4"/>
  <c r="D67" i="4"/>
  <c r="N66" i="4"/>
  <c r="D66" i="4"/>
  <c r="N65" i="4"/>
  <c r="D65" i="4"/>
  <c r="N64" i="4"/>
  <c r="D64" i="4"/>
  <c r="N63" i="4"/>
  <c r="D63" i="4"/>
  <c r="N62" i="4"/>
  <c r="D62" i="4"/>
  <c r="N61" i="4"/>
  <c r="D61" i="4"/>
  <c r="N60" i="4"/>
  <c r="D60" i="4"/>
  <c r="N59" i="4"/>
  <c r="D59" i="4"/>
  <c r="N58" i="4"/>
  <c r="D58" i="4"/>
  <c r="N57" i="4"/>
  <c r="D57" i="4"/>
  <c r="N56" i="4"/>
  <c r="D56" i="4"/>
  <c r="N55" i="4"/>
  <c r="D55" i="4"/>
  <c r="N54" i="4"/>
  <c r="D54" i="4"/>
  <c r="N53" i="4"/>
  <c r="D53" i="4"/>
  <c r="N52" i="4"/>
  <c r="D52" i="4"/>
  <c r="N51" i="4"/>
  <c r="D51" i="4"/>
  <c r="N50" i="4"/>
  <c r="D50" i="4"/>
  <c r="N49" i="4"/>
  <c r="D49" i="4"/>
  <c r="N48" i="4"/>
  <c r="D48" i="4"/>
  <c r="N47" i="4"/>
  <c r="D47" i="4"/>
  <c r="N46" i="4"/>
  <c r="D46" i="4"/>
  <c r="N45" i="4"/>
  <c r="D45" i="4"/>
  <c r="N44" i="4"/>
  <c r="D44" i="4"/>
  <c r="N43" i="4"/>
  <c r="D43" i="4"/>
  <c r="N42" i="4"/>
  <c r="D42" i="4"/>
  <c r="N41" i="4"/>
  <c r="D41" i="4"/>
  <c r="N40" i="4"/>
  <c r="D40" i="4"/>
  <c r="N39" i="4"/>
  <c r="D39" i="4"/>
  <c r="N38" i="4"/>
  <c r="D38" i="4"/>
  <c r="N37" i="4"/>
  <c r="D37" i="4"/>
  <c r="N36" i="4"/>
  <c r="D36" i="4"/>
  <c r="N35" i="4"/>
  <c r="D35" i="4"/>
  <c r="N34" i="4"/>
  <c r="D34" i="4"/>
  <c r="N33" i="4"/>
  <c r="D33" i="4"/>
  <c r="N32" i="4"/>
  <c r="D32" i="4"/>
  <c r="N31" i="4"/>
  <c r="D31" i="4"/>
  <c r="N30" i="4"/>
  <c r="D30" i="4"/>
  <c r="N29" i="4"/>
  <c r="D29" i="4"/>
  <c r="N28" i="4"/>
  <c r="D28" i="4"/>
  <c r="N27" i="4"/>
  <c r="D27" i="4"/>
  <c r="N26" i="4"/>
  <c r="D26" i="4"/>
  <c r="N25" i="4"/>
  <c r="D25" i="4"/>
  <c r="N24" i="4"/>
  <c r="D24" i="4"/>
  <c r="N23" i="4"/>
  <c r="D23" i="4"/>
  <c r="N22" i="4"/>
  <c r="D22" i="4"/>
  <c r="N21" i="4"/>
  <c r="D21" i="4"/>
  <c r="N20" i="4"/>
  <c r="D20" i="4"/>
  <c r="N19" i="4"/>
  <c r="D19" i="4"/>
  <c r="N18" i="4"/>
  <c r="D18" i="4"/>
  <c r="N17" i="4"/>
  <c r="D17" i="4"/>
  <c r="N16" i="4"/>
  <c r="D16" i="4"/>
  <c r="N15" i="4"/>
  <c r="D15" i="4"/>
  <c r="N14" i="4"/>
  <c r="D14" i="4"/>
  <c r="N13" i="4"/>
  <c r="D13" i="4"/>
  <c r="N12" i="4"/>
  <c r="D12" i="4"/>
  <c r="N11" i="4"/>
  <c r="D11" i="4"/>
  <c r="N10" i="4"/>
  <c r="D10" i="4"/>
  <c r="N9" i="4"/>
  <c r="D9" i="4"/>
  <c r="N8" i="4"/>
  <c r="D8" i="4"/>
  <c r="N7" i="4"/>
  <c r="D7" i="4"/>
  <c r="N6" i="4"/>
  <c r="D6" i="4"/>
  <c r="N5" i="4"/>
  <c r="D5" i="4"/>
  <c r="N4" i="4"/>
  <c r="D4" i="4"/>
  <c r="N3" i="4"/>
  <c r="D3" i="4"/>
  <c r="N2" i="4"/>
  <c r="D2" i="4"/>
  <c r="M301" i="3"/>
  <c r="L301" i="3"/>
  <c r="J301" i="3"/>
  <c r="M300" i="3"/>
  <c r="L300" i="3"/>
  <c r="J300" i="3"/>
  <c r="M299" i="3"/>
  <c r="L299" i="3"/>
  <c r="J299" i="3"/>
  <c r="M298" i="3"/>
  <c r="L298" i="3"/>
  <c r="J298" i="3"/>
  <c r="M297" i="3"/>
  <c r="L297" i="3"/>
  <c r="J297" i="3"/>
  <c r="M296" i="3"/>
  <c r="L296" i="3"/>
  <c r="J296" i="3"/>
  <c r="M295" i="3"/>
  <c r="L295" i="3"/>
  <c r="J295" i="3"/>
  <c r="M294" i="3"/>
  <c r="L294" i="3"/>
  <c r="J294" i="3"/>
  <c r="M293" i="3"/>
  <c r="L293" i="3"/>
  <c r="J293" i="3"/>
  <c r="M292" i="3"/>
  <c r="L292" i="3"/>
  <c r="J292" i="3"/>
  <c r="M291" i="3"/>
  <c r="L291" i="3"/>
  <c r="J291" i="3"/>
  <c r="M290" i="3"/>
  <c r="L290" i="3"/>
  <c r="J290" i="3"/>
  <c r="M289" i="3"/>
  <c r="L289" i="3"/>
  <c r="J289" i="3"/>
  <c r="M288" i="3"/>
  <c r="L288" i="3"/>
  <c r="J288" i="3"/>
  <c r="M287" i="3"/>
  <c r="L287" i="3"/>
  <c r="J287" i="3"/>
  <c r="M286" i="3"/>
  <c r="L286" i="3"/>
  <c r="J286" i="3"/>
  <c r="M285" i="3"/>
  <c r="L285" i="3"/>
  <c r="J285" i="3"/>
  <c r="M284" i="3"/>
  <c r="L284" i="3"/>
  <c r="J284" i="3"/>
  <c r="M283" i="3"/>
  <c r="L283" i="3"/>
  <c r="J283" i="3"/>
  <c r="M282" i="3"/>
  <c r="L282" i="3"/>
  <c r="J282" i="3"/>
  <c r="M281" i="3"/>
  <c r="L281" i="3"/>
  <c r="J281" i="3"/>
  <c r="M280" i="3"/>
  <c r="L280" i="3"/>
  <c r="J280" i="3"/>
  <c r="M279" i="3"/>
  <c r="L279" i="3"/>
  <c r="J279" i="3"/>
  <c r="M278" i="3"/>
  <c r="L278" i="3"/>
  <c r="J278" i="3"/>
  <c r="M277" i="3"/>
  <c r="L277" i="3"/>
  <c r="J277" i="3"/>
  <c r="M276" i="3"/>
  <c r="L276" i="3"/>
  <c r="J276" i="3"/>
  <c r="M275" i="3"/>
  <c r="L275" i="3"/>
  <c r="J275" i="3"/>
  <c r="M274" i="3"/>
  <c r="L274" i="3"/>
  <c r="J274" i="3"/>
  <c r="M273" i="3"/>
  <c r="L273" i="3"/>
  <c r="J273" i="3"/>
  <c r="M272" i="3"/>
  <c r="L272" i="3"/>
  <c r="J272" i="3"/>
  <c r="M271" i="3"/>
  <c r="L271" i="3"/>
  <c r="J271" i="3"/>
  <c r="M270" i="3"/>
  <c r="L270" i="3"/>
  <c r="J270" i="3"/>
  <c r="M269" i="3"/>
  <c r="L269" i="3"/>
  <c r="J269" i="3"/>
  <c r="M268" i="3"/>
  <c r="L268" i="3"/>
  <c r="J268" i="3"/>
  <c r="M267" i="3"/>
  <c r="L267" i="3"/>
  <c r="J267" i="3"/>
  <c r="M266" i="3"/>
  <c r="L266" i="3"/>
  <c r="J266" i="3"/>
  <c r="M265" i="3"/>
  <c r="L265" i="3"/>
  <c r="J265" i="3"/>
  <c r="M264" i="3"/>
  <c r="L264" i="3"/>
  <c r="J264" i="3"/>
  <c r="M263" i="3"/>
  <c r="L263" i="3"/>
  <c r="J263" i="3"/>
  <c r="M262" i="3"/>
  <c r="L262" i="3"/>
  <c r="J262" i="3"/>
  <c r="M261" i="3"/>
  <c r="L261" i="3"/>
  <c r="J261" i="3"/>
  <c r="M260" i="3"/>
  <c r="L260" i="3"/>
  <c r="J260" i="3"/>
  <c r="M259" i="3"/>
  <c r="L259" i="3"/>
  <c r="J259" i="3"/>
  <c r="M258" i="3"/>
  <c r="L258" i="3"/>
  <c r="J258" i="3"/>
  <c r="M257" i="3"/>
  <c r="L257" i="3"/>
  <c r="J257" i="3"/>
  <c r="M256" i="3"/>
  <c r="L256" i="3"/>
  <c r="J256" i="3"/>
  <c r="M255" i="3"/>
  <c r="L255" i="3"/>
  <c r="J255" i="3"/>
  <c r="M254" i="3"/>
  <c r="L254" i="3"/>
  <c r="J254" i="3"/>
  <c r="M253" i="3"/>
  <c r="L253" i="3"/>
  <c r="J253" i="3"/>
  <c r="M252" i="3"/>
  <c r="L252" i="3"/>
  <c r="J252" i="3"/>
  <c r="M251" i="3"/>
  <c r="L251" i="3"/>
  <c r="J251" i="3"/>
  <c r="M250" i="3"/>
  <c r="L250" i="3"/>
  <c r="J250" i="3"/>
  <c r="M249" i="3"/>
  <c r="L249" i="3"/>
  <c r="J249" i="3"/>
  <c r="M248" i="3"/>
  <c r="L248" i="3"/>
  <c r="J248" i="3"/>
  <c r="M247" i="3"/>
  <c r="L247" i="3"/>
  <c r="J247" i="3"/>
  <c r="M246" i="3"/>
  <c r="L246" i="3"/>
  <c r="J246" i="3"/>
  <c r="M245" i="3"/>
  <c r="L245" i="3"/>
  <c r="J245" i="3"/>
  <c r="M244" i="3"/>
  <c r="L244" i="3"/>
  <c r="J244" i="3"/>
  <c r="M243" i="3"/>
  <c r="L243" i="3"/>
  <c r="J243" i="3"/>
  <c r="M242" i="3"/>
  <c r="L242" i="3"/>
  <c r="J242" i="3"/>
  <c r="M241" i="3"/>
  <c r="L241" i="3"/>
  <c r="J241" i="3"/>
  <c r="M240" i="3"/>
  <c r="L240" i="3"/>
  <c r="J240" i="3"/>
  <c r="M239" i="3"/>
  <c r="L239" i="3"/>
  <c r="J239" i="3"/>
  <c r="M238" i="3"/>
  <c r="L238" i="3"/>
  <c r="J238" i="3"/>
  <c r="M237" i="3"/>
  <c r="L237" i="3"/>
  <c r="J237" i="3"/>
  <c r="M236" i="3"/>
  <c r="L236" i="3"/>
  <c r="J236" i="3"/>
  <c r="M235" i="3"/>
  <c r="L235" i="3"/>
  <c r="J235" i="3"/>
  <c r="M234" i="3"/>
  <c r="L234" i="3"/>
  <c r="J234" i="3"/>
  <c r="M233" i="3"/>
  <c r="L233" i="3"/>
  <c r="J233" i="3"/>
  <c r="M232" i="3"/>
  <c r="L232" i="3"/>
  <c r="J232" i="3"/>
  <c r="M231" i="3"/>
  <c r="L231" i="3"/>
  <c r="J231" i="3"/>
  <c r="M230" i="3"/>
  <c r="L230" i="3"/>
  <c r="J230" i="3"/>
  <c r="M229" i="3"/>
  <c r="L229" i="3"/>
  <c r="J229" i="3"/>
  <c r="M228" i="3"/>
  <c r="L228" i="3"/>
  <c r="J228" i="3"/>
  <c r="M227" i="3"/>
  <c r="L227" i="3"/>
  <c r="J227" i="3"/>
  <c r="M226" i="3"/>
  <c r="L226" i="3"/>
  <c r="J226" i="3"/>
  <c r="M225" i="3"/>
  <c r="L225" i="3"/>
  <c r="J225" i="3"/>
  <c r="M224" i="3"/>
  <c r="L224" i="3"/>
  <c r="J224" i="3"/>
  <c r="M223" i="3"/>
  <c r="L223" i="3"/>
  <c r="J223" i="3"/>
  <c r="M222" i="3"/>
  <c r="L222" i="3"/>
  <c r="J222" i="3"/>
  <c r="M221" i="3"/>
  <c r="L221" i="3"/>
  <c r="J221" i="3"/>
  <c r="M220" i="3"/>
  <c r="L220" i="3"/>
  <c r="J220" i="3"/>
  <c r="M219" i="3"/>
  <c r="L219" i="3"/>
  <c r="J219" i="3"/>
  <c r="M218" i="3"/>
  <c r="L218" i="3"/>
  <c r="J218" i="3"/>
  <c r="M217" i="3"/>
  <c r="L217" i="3"/>
  <c r="J217" i="3"/>
  <c r="M216" i="3"/>
  <c r="L216" i="3"/>
  <c r="J216" i="3"/>
  <c r="M215" i="3"/>
  <c r="L215" i="3"/>
  <c r="J215" i="3"/>
  <c r="M214" i="3"/>
  <c r="L214" i="3"/>
  <c r="J214" i="3"/>
  <c r="M213" i="3"/>
  <c r="L213" i="3"/>
  <c r="J213" i="3"/>
  <c r="M212" i="3"/>
  <c r="L212" i="3"/>
  <c r="J212" i="3"/>
  <c r="M211" i="3"/>
  <c r="L211" i="3"/>
  <c r="J211" i="3"/>
  <c r="M210" i="3"/>
  <c r="L210" i="3"/>
  <c r="J210" i="3"/>
  <c r="M209" i="3"/>
  <c r="L209" i="3"/>
  <c r="J209" i="3"/>
  <c r="M208" i="3"/>
  <c r="L208" i="3"/>
  <c r="J208" i="3"/>
  <c r="M207" i="3"/>
  <c r="L207" i="3"/>
  <c r="J207" i="3"/>
  <c r="M206" i="3"/>
  <c r="L206" i="3"/>
  <c r="J206" i="3"/>
  <c r="M205" i="3"/>
  <c r="L205" i="3"/>
  <c r="J205" i="3"/>
  <c r="M204" i="3"/>
  <c r="L204" i="3"/>
  <c r="J204" i="3"/>
  <c r="M203" i="3"/>
  <c r="L203" i="3"/>
  <c r="J203" i="3"/>
  <c r="M202" i="3"/>
  <c r="L202" i="3"/>
  <c r="J202" i="3"/>
  <c r="M201" i="3"/>
  <c r="L201" i="3"/>
  <c r="J201" i="3"/>
  <c r="M200" i="3"/>
  <c r="L200" i="3"/>
  <c r="J200" i="3"/>
  <c r="M199" i="3"/>
  <c r="L199" i="3"/>
  <c r="J199" i="3"/>
  <c r="M198" i="3"/>
  <c r="L198" i="3"/>
  <c r="J198" i="3"/>
  <c r="M197" i="3"/>
  <c r="L197" i="3"/>
  <c r="J197" i="3"/>
  <c r="M196" i="3"/>
  <c r="L196" i="3"/>
  <c r="J196" i="3"/>
  <c r="M195" i="3"/>
  <c r="L195" i="3"/>
  <c r="J195" i="3"/>
  <c r="M194" i="3"/>
  <c r="L194" i="3"/>
  <c r="J194" i="3"/>
  <c r="M193" i="3"/>
  <c r="L193" i="3"/>
  <c r="J193" i="3"/>
  <c r="M192" i="3"/>
  <c r="L192" i="3"/>
  <c r="J192" i="3"/>
  <c r="M191" i="3"/>
  <c r="L191" i="3"/>
  <c r="J191" i="3"/>
  <c r="M190" i="3"/>
  <c r="L190" i="3"/>
  <c r="J190" i="3"/>
  <c r="M189" i="3"/>
  <c r="L189" i="3"/>
  <c r="J189" i="3"/>
  <c r="M188" i="3"/>
  <c r="L188" i="3"/>
  <c r="J188" i="3"/>
  <c r="M187" i="3"/>
  <c r="L187" i="3"/>
  <c r="J187" i="3"/>
  <c r="M186" i="3"/>
  <c r="L186" i="3"/>
  <c r="J186" i="3"/>
  <c r="M185" i="3"/>
  <c r="L185" i="3"/>
  <c r="J185" i="3"/>
  <c r="M184" i="3"/>
  <c r="L184" i="3"/>
  <c r="J184" i="3"/>
  <c r="M183" i="3"/>
  <c r="L183" i="3"/>
  <c r="J183" i="3"/>
  <c r="M182" i="3"/>
  <c r="L182" i="3"/>
  <c r="J182" i="3"/>
  <c r="M181" i="3"/>
  <c r="L181" i="3"/>
  <c r="J181" i="3"/>
  <c r="M180" i="3"/>
  <c r="L180" i="3"/>
  <c r="J180" i="3"/>
  <c r="M179" i="3"/>
  <c r="L179" i="3"/>
  <c r="J179" i="3"/>
  <c r="M178" i="3"/>
  <c r="L178" i="3"/>
  <c r="J178" i="3"/>
  <c r="M177" i="3"/>
  <c r="L177" i="3"/>
  <c r="J177" i="3"/>
  <c r="M176" i="3"/>
  <c r="L176" i="3"/>
  <c r="J176" i="3"/>
  <c r="M175" i="3"/>
  <c r="L175" i="3"/>
  <c r="J175" i="3"/>
  <c r="M174" i="3"/>
  <c r="L174" i="3"/>
  <c r="J174" i="3"/>
  <c r="M173" i="3"/>
  <c r="L173" i="3"/>
  <c r="J173" i="3"/>
  <c r="M172" i="3"/>
  <c r="L172" i="3"/>
  <c r="J172" i="3"/>
  <c r="M171" i="3"/>
  <c r="L171" i="3"/>
  <c r="J171" i="3"/>
  <c r="M170" i="3"/>
  <c r="L170" i="3"/>
  <c r="J170" i="3"/>
  <c r="M169" i="3"/>
  <c r="L169" i="3"/>
  <c r="J169" i="3"/>
  <c r="M168" i="3"/>
  <c r="L168" i="3"/>
  <c r="J168" i="3"/>
  <c r="M167" i="3"/>
  <c r="L167" i="3"/>
  <c r="J167" i="3"/>
  <c r="M166" i="3"/>
  <c r="L166" i="3"/>
  <c r="J166" i="3"/>
  <c r="M165" i="3"/>
  <c r="L165" i="3"/>
  <c r="J165" i="3"/>
  <c r="M164" i="3"/>
  <c r="L164" i="3"/>
  <c r="J164" i="3"/>
  <c r="M163" i="3"/>
  <c r="L163" i="3"/>
  <c r="J163" i="3"/>
  <c r="M162" i="3"/>
  <c r="L162" i="3"/>
  <c r="J162" i="3"/>
  <c r="M161" i="3"/>
  <c r="L161" i="3"/>
  <c r="J161" i="3"/>
  <c r="M160" i="3"/>
  <c r="L160" i="3"/>
  <c r="J160" i="3"/>
  <c r="M159" i="3"/>
  <c r="L159" i="3"/>
  <c r="J159" i="3"/>
  <c r="M158" i="3"/>
  <c r="L158" i="3"/>
  <c r="J158" i="3"/>
  <c r="M157" i="3"/>
  <c r="L157" i="3"/>
  <c r="J157" i="3"/>
  <c r="M156" i="3"/>
  <c r="L156" i="3"/>
  <c r="J156" i="3"/>
  <c r="M155" i="3"/>
  <c r="L155" i="3"/>
  <c r="J155" i="3"/>
  <c r="M154" i="3"/>
  <c r="L154" i="3"/>
  <c r="J154" i="3"/>
  <c r="M153" i="3"/>
  <c r="L153" i="3"/>
  <c r="J153" i="3"/>
  <c r="M152" i="3"/>
  <c r="L152" i="3"/>
  <c r="J152" i="3"/>
  <c r="M151" i="3"/>
  <c r="L151" i="3"/>
  <c r="J151" i="3"/>
  <c r="M150" i="3"/>
  <c r="L150" i="3"/>
  <c r="J150" i="3"/>
  <c r="M149" i="3"/>
  <c r="L149" i="3"/>
  <c r="J149" i="3"/>
  <c r="M148" i="3"/>
  <c r="L148" i="3"/>
  <c r="J148" i="3"/>
  <c r="M147" i="3"/>
  <c r="L147" i="3"/>
  <c r="J147" i="3"/>
  <c r="M146" i="3"/>
  <c r="L146" i="3"/>
  <c r="J146" i="3"/>
  <c r="M145" i="3"/>
  <c r="L145" i="3"/>
  <c r="J145" i="3"/>
  <c r="M144" i="3"/>
  <c r="L144" i="3"/>
  <c r="J144" i="3"/>
  <c r="M143" i="3"/>
  <c r="L143" i="3"/>
  <c r="J143" i="3"/>
  <c r="M142" i="3"/>
  <c r="L142" i="3"/>
  <c r="J142" i="3"/>
  <c r="M141" i="3"/>
  <c r="L141" i="3"/>
  <c r="J141" i="3"/>
  <c r="M140" i="3"/>
  <c r="L140" i="3"/>
  <c r="J140" i="3"/>
  <c r="M139" i="3"/>
  <c r="L139" i="3"/>
  <c r="J139" i="3"/>
  <c r="M138" i="3"/>
  <c r="L138" i="3"/>
  <c r="J138" i="3"/>
  <c r="M137" i="3"/>
  <c r="L137" i="3"/>
  <c r="J137" i="3"/>
  <c r="M136" i="3"/>
  <c r="L136" i="3"/>
  <c r="J136" i="3"/>
  <c r="M135" i="3"/>
  <c r="L135" i="3"/>
  <c r="J135" i="3"/>
  <c r="M134" i="3"/>
  <c r="L134" i="3"/>
  <c r="J134" i="3"/>
  <c r="M133" i="3"/>
  <c r="L133" i="3"/>
  <c r="J133" i="3"/>
  <c r="M132" i="3"/>
  <c r="L132" i="3"/>
  <c r="J132" i="3"/>
  <c r="M131" i="3"/>
  <c r="L131" i="3"/>
  <c r="J131" i="3"/>
  <c r="M130" i="3"/>
  <c r="L130" i="3"/>
  <c r="J130" i="3"/>
  <c r="M129" i="3"/>
  <c r="L129" i="3"/>
  <c r="J129" i="3"/>
  <c r="M128" i="3"/>
  <c r="L128" i="3"/>
  <c r="J128" i="3"/>
  <c r="M127" i="3"/>
  <c r="L127" i="3"/>
  <c r="J127" i="3"/>
  <c r="M126" i="3"/>
  <c r="L126" i="3"/>
  <c r="J126" i="3"/>
  <c r="M125" i="3"/>
  <c r="L125" i="3"/>
  <c r="J125" i="3"/>
  <c r="M124" i="3"/>
  <c r="L124" i="3"/>
  <c r="J124" i="3"/>
  <c r="M123" i="3"/>
  <c r="L123" i="3"/>
  <c r="J123" i="3"/>
  <c r="M122" i="3"/>
  <c r="L122" i="3"/>
  <c r="J122" i="3"/>
  <c r="M121" i="3"/>
  <c r="L121" i="3"/>
  <c r="J121" i="3"/>
  <c r="M120" i="3"/>
  <c r="L120" i="3"/>
  <c r="J120" i="3"/>
  <c r="M119" i="3"/>
  <c r="L119" i="3"/>
  <c r="J119" i="3"/>
  <c r="M118" i="3"/>
  <c r="L118" i="3"/>
  <c r="J118" i="3"/>
  <c r="M117" i="3"/>
  <c r="L117" i="3"/>
  <c r="J117" i="3"/>
  <c r="M116" i="3"/>
  <c r="L116" i="3"/>
  <c r="J116" i="3"/>
  <c r="M115" i="3"/>
  <c r="L115" i="3"/>
  <c r="J115" i="3"/>
  <c r="M114" i="3"/>
  <c r="L114" i="3"/>
  <c r="J114" i="3"/>
  <c r="M113" i="3"/>
  <c r="L113" i="3"/>
  <c r="J113" i="3"/>
  <c r="M112" i="3"/>
  <c r="L112" i="3"/>
  <c r="J112" i="3"/>
  <c r="M111" i="3"/>
  <c r="L111" i="3"/>
  <c r="J111" i="3"/>
  <c r="M110" i="3"/>
  <c r="L110" i="3"/>
  <c r="J110" i="3"/>
  <c r="M109" i="3"/>
  <c r="L109" i="3"/>
  <c r="J109" i="3"/>
  <c r="M108" i="3"/>
  <c r="L108" i="3"/>
  <c r="J108" i="3"/>
  <c r="M107" i="3"/>
  <c r="L107" i="3"/>
  <c r="J107" i="3"/>
  <c r="M106" i="3"/>
  <c r="L106" i="3"/>
  <c r="J106" i="3"/>
  <c r="M105" i="3"/>
  <c r="L105" i="3"/>
  <c r="J105" i="3"/>
  <c r="M104" i="3"/>
  <c r="L104" i="3"/>
  <c r="J104" i="3"/>
  <c r="M103" i="3"/>
  <c r="L103" i="3"/>
  <c r="J103" i="3"/>
  <c r="M102" i="3"/>
  <c r="L102" i="3"/>
  <c r="J102" i="3"/>
  <c r="M101" i="3"/>
  <c r="L101" i="3"/>
  <c r="J101" i="3"/>
  <c r="M100" i="3"/>
  <c r="L100" i="3"/>
  <c r="J100" i="3"/>
  <c r="M99" i="3"/>
  <c r="L99" i="3"/>
  <c r="J99" i="3"/>
  <c r="M98" i="3"/>
  <c r="L98" i="3"/>
  <c r="J98" i="3"/>
  <c r="M97" i="3"/>
  <c r="L97" i="3"/>
  <c r="J97" i="3"/>
  <c r="M96" i="3"/>
  <c r="L96" i="3"/>
  <c r="J96" i="3"/>
  <c r="M95" i="3"/>
  <c r="L95" i="3"/>
  <c r="J95" i="3"/>
  <c r="M94" i="3"/>
  <c r="L94" i="3"/>
  <c r="J94" i="3"/>
  <c r="M93" i="3"/>
  <c r="L93" i="3"/>
  <c r="J93" i="3"/>
  <c r="M92" i="3"/>
  <c r="L92" i="3"/>
  <c r="J92" i="3"/>
  <c r="M91" i="3"/>
  <c r="L91" i="3"/>
  <c r="J91" i="3"/>
  <c r="M90" i="3"/>
  <c r="L90" i="3"/>
  <c r="J90" i="3"/>
  <c r="M89" i="3"/>
  <c r="L89" i="3"/>
  <c r="J89" i="3"/>
  <c r="M88" i="3"/>
  <c r="L88" i="3"/>
  <c r="J88" i="3"/>
  <c r="M87" i="3"/>
  <c r="L87" i="3"/>
  <c r="J87" i="3"/>
  <c r="M86" i="3"/>
  <c r="L86" i="3"/>
  <c r="J86" i="3"/>
  <c r="M85" i="3"/>
  <c r="L85" i="3"/>
  <c r="J85" i="3"/>
  <c r="M84" i="3"/>
  <c r="L84" i="3"/>
  <c r="J84" i="3"/>
  <c r="M83" i="3"/>
  <c r="L83" i="3"/>
  <c r="J83" i="3"/>
  <c r="M82" i="3"/>
  <c r="L82" i="3"/>
  <c r="J82" i="3"/>
  <c r="M81" i="3"/>
  <c r="L81" i="3"/>
  <c r="J81" i="3"/>
  <c r="M80" i="3"/>
  <c r="L80" i="3"/>
  <c r="J80" i="3"/>
  <c r="M79" i="3"/>
  <c r="L79" i="3"/>
  <c r="J79" i="3"/>
  <c r="M78" i="3"/>
  <c r="L78" i="3"/>
  <c r="J78" i="3"/>
  <c r="M77" i="3"/>
  <c r="L77" i="3"/>
  <c r="J77" i="3"/>
  <c r="M76" i="3"/>
  <c r="L76" i="3"/>
  <c r="J76" i="3"/>
  <c r="M75" i="3"/>
  <c r="L75" i="3"/>
  <c r="J75" i="3"/>
  <c r="M74" i="3"/>
  <c r="L74" i="3"/>
  <c r="J74" i="3"/>
  <c r="M73" i="3"/>
  <c r="L73" i="3"/>
  <c r="J73" i="3"/>
  <c r="M72" i="3"/>
  <c r="L72" i="3"/>
  <c r="J72" i="3"/>
  <c r="M71" i="3"/>
  <c r="L71" i="3"/>
  <c r="J71" i="3"/>
  <c r="M70" i="3"/>
  <c r="L70" i="3"/>
  <c r="J70" i="3"/>
  <c r="M69" i="3"/>
  <c r="L69" i="3"/>
  <c r="J69" i="3"/>
  <c r="M68" i="3"/>
  <c r="L68" i="3"/>
  <c r="J68" i="3"/>
  <c r="M67" i="3"/>
  <c r="L67" i="3"/>
  <c r="J67" i="3"/>
  <c r="M66" i="3"/>
  <c r="L66" i="3"/>
  <c r="J66" i="3"/>
  <c r="M65" i="3"/>
  <c r="L65" i="3"/>
  <c r="J65" i="3"/>
  <c r="M64" i="3"/>
  <c r="L64" i="3"/>
  <c r="J64" i="3"/>
  <c r="M63" i="3"/>
  <c r="L63" i="3"/>
  <c r="J63" i="3"/>
  <c r="M62" i="3"/>
  <c r="L62" i="3"/>
  <c r="J62" i="3"/>
  <c r="M61" i="3"/>
  <c r="L61" i="3"/>
  <c r="J61" i="3"/>
  <c r="M60" i="3"/>
  <c r="L60" i="3"/>
  <c r="J60" i="3"/>
  <c r="M59" i="3"/>
  <c r="L59" i="3"/>
  <c r="J59" i="3"/>
  <c r="M58" i="3"/>
  <c r="L58" i="3"/>
  <c r="J58" i="3"/>
  <c r="M57" i="3"/>
  <c r="L57" i="3"/>
  <c r="J57" i="3"/>
  <c r="M56" i="3"/>
  <c r="L56" i="3"/>
  <c r="J56" i="3"/>
  <c r="M55" i="3"/>
  <c r="L55" i="3"/>
  <c r="J55" i="3"/>
  <c r="M54" i="3"/>
  <c r="L54" i="3"/>
  <c r="J54" i="3"/>
  <c r="M53" i="3"/>
  <c r="L53" i="3"/>
  <c r="J53" i="3"/>
  <c r="M52" i="3"/>
  <c r="L52" i="3"/>
  <c r="J52" i="3"/>
  <c r="M51" i="3"/>
  <c r="L51" i="3"/>
  <c r="J51" i="3"/>
  <c r="M50" i="3"/>
  <c r="L50" i="3"/>
  <c r="J50" i="3"/>
  <c r="M49" i="3"/>
  <c r="L49" i="3"/>
  <c r="J49" i="3"/>
  <c r="M48" i="3"/>
  <c r="L48" i="3"/>
  <c r="J48" i="3"/>
  <c r="M47" i="3"/>
  <c r="L47" i="3"/>
  <c r="J47" i="3"/>
  <c r="M46" i="3"/>
  <c r="L46" i="3"/>
  <c r="J46" i="3"/>
  <c r="M45" i="3"/>
  <c r="L45" i="3"/>
  <c r="J45" i="3"/>
  <c r="M44" i="3"/>
  <c r="L44" i="3"/>
  <c r="J44" i="3"/>
  <c r="M43" i="3"/>
  <c r="L43" i="3"/>
  <c r="J43" i="3"/>
  <c r="M42" i="3"/>
  <c r="L42" i="3"/>
  <c r="J42" i="3"/>
  <c r="M41" i="3"/>
  <c r="L41" i="3"/>
  <c r="J41" i="3"/>
  <c r="M40" i="3"/>
  <c r="L40" i="3"/>
  <c r="J40" i="3"/>
  <c r="M39" i="3"/>
  <c r="L39" i="3"/>
  <c r="J39" i="3"/>
  <c r="M38" i="3"/>
  <c r="L38" i="3"/>
  <c r="J38" i="3"/>
  <c r="M37" i="3"/>
  <c r="L37" i="3"/>
  <c r="J37" i="3"/>
  <c r="M36" i="3"/>
  <c r="L36" i="3"/>
  <c r="J36" i="3"/>
  <c r="M35" i="3"/>
  <c r="P105" i="4" s="1"/>
  <c r="L35" i="3"/>
  <c r="J35" i="3"/>
  <c r="M34" i="3"/>
  <c r="P104" i="4" s="1"/>
  <c r="L34" i="3"/>
  <c r="J34" i="3"/>
  <c r="M33" i="3"/>
  <c r="P101" i="4" s="1"/>
  <c r="L33" i="3"/>
  <c r="J33" i="3"/>
  <c r="M32" i="3"/>
  <c r="P100" i="4" s="1"/>
  <c r="L32" i="3"/>
  <c r="J32" i="3"/>
  <c r="M31" i="3"/>
  <c r="P97" i="4" s="1"/>
  <c r="L31" i="3"/>
  <c r="J31" i="3"/>
  <c r="M30" i="3"/>
  <c r="P96" i="4" s="1"/>
  <c r="L30" i="3"/>
  <c r="J30" i="3"/>
  <c r="M29" i="3"/>
  <c r="P93" i="4" s="1"/>
  <c r="L29" i="3"/>
  <c r="J29" i="3"/>
  <c r="M28" i="3"/>
  <c r="P88" i="4" s="1"/>
  <c r="L28" i="3"/>
  <c r="J28" i="3"/>
  <c r="M27" i="3"/>
  <c r="P87" i="4" s="1"/>
  <c r="L27" i="3"/>
  <c r="J27" i="3"/>
  <c r="M26" i="3"/>
  <c r="P84" i="4" s="1"/>
  <c r="L26" i="3"/>
  <c r="J26" i="3"/>
  <c r="M25" i="3"/>
  <c r="P81" i="4" s="1"/>
  <c r="L25" i="3"/>
  <c r="J25" i="3"/>
  <c r="M24" i="3"/>
  <c r="P76" i="4" s="1"/>
  <c r="L24" i="3"/>
  <c r="J24" i="3"/>
  <c r="M23" i="3"/>
  <c r="P75" i="4" s="1"/>
  <c r="L23" i="3"/>
  <c r="J23" i="3"/>
  <c r="M22" i="3"/>
  <c r="P72" i="4" s="1"/>
  <c r="L22" i="3"/>
  <c r="J22" i="3"/>
  <c r="M21" i="3"/>
  <c r="P69" i="4" s="1"/>
  <c r="L21" i="3"/>
  <c r="J21" i="3"/>
  <c r="M20" i="3"/>
  <c r="P64" i="4" s="1"/>
  <c r="L20" i="3"/>
  <c r="J20" i="3"/>
  <c r="M19" i="3"/>
  <c r="P60" i="4" s="1"/>
  <c r="L19" i="3"/>
  <c r="J19" i="3"/>
  <c r="M18" i="3"/>
  <c r="P58" i="4" s="1"/>
  <c r="L18" i="3"/>
  <c r="J18" i="3"/>
  <c r="M17" i="3"/>
  <c r="P56" i="4" s="1"/>
  <c r="L17" i="3"/>
  <c r="J17" i="3"/>
  <c r="M16" i="3"/>
  <c r="P52" i="4" s="1"/>
  <c r="L16" i="3"/>
  <c r="J16" i="3"/>
  <c r="M15" i="3"/>
  <c r="P48" i="4" s="1"/>
  <c r="L15" i="3"/>
  <c r="J15" i="3"/>
  <c r="M14" i="3"/>
  <c r="P44" i="4" s="1"/>
  <c r="L14" i="3"/>
  <c r="J14" i="3"/>
  <c r="M13" i="3"/>
  <c r="P41" i="4" s="1"/>
  <c r="L13" i="3"/>
  <c r="J13" i="3"/>
  <c r="M12" i="3"/>
  <c r="P38" i="4" s="1"/>
  <c r="L12" i="3"/>
  <c r="J12" i="3"/>
  <c r="M11" i="3"/>
  <c r="P36" i="4" s="1"/>
  <c r="L11" i="3"/>
  <c r="J11" i="3"/>
  <c r="M10" i="3"/>
  <c r="P28" i="4" s="1"/>
  <c r="L10" i="3"/>
  <c r="J10" i="3"/>
  <c r="M9" i="3"/>
  <c r="P25" i="4" s="1"/>
  <c r="L9" i="3"/>
  <c r="J9" i="3"/>
  <c r="M8" i="3"/>
  <c r="P24" i="4" s="1"/>
  <c r="L8" i="3"/>
  <c r="J8" i="3"/>
  <c r="M7" i="3"/>
  <c r="P20" i="4" s="1"/>
  <c r="L7" i="3"/>
  <c r="J7" i="3"/>
  <c r="M6" i="3"/>
  <c r="P16" i="4" s="1"/>
  <c r="L6" i="3"/>
  <c r="J6" i="3"/>
  <c r="M5" i="3"/>
  <c r="P13" i="4" s="1"/>
  <c r="L5" i="3"/>
  <c r="J5" i="3"/>
  <c r="M4" i="3"/>
  <c r="P12" i="4" s="1"/>
  <c r="L4" i="3"/>
  <c r="J4" i="3"/>
  <c r="M3" i="3"/>
  <c r="P8" i="4" s="1"/>
  <c r="L3" i="3"/>
  <c r="J3" i="3"/>
  <c r="M2" i="3"/>
  <c r="P4" i="4" s="1"/>
  <c r="L2" i="3"/>
  <c r="J2" i="3"/>
  <c r="K301" i="2"/>
  <c r="J301" i="2"/>
  <c r="H301" i="2"/>
  <c r="K300" i="2"/>
  <c r="J300" i="2"/>
  <c r="H300" i="2"/>
  <c r="K299" i="2"/>
  <c r="J299" i="2"/>
  <c r="H299" i="2"/>
  <c r="K298" i="2"/>
  <c r="J298" i="2"/>
  <c r="H298" i="2"/>
  <c r="K297" i="2"/>
  <c r="J297" i="2"/>
  <c r="H297" i="2"/>
  <c r="K296" i="2"/>
  <c r="J296" i="2"/>
  <c r="H296" i="2"/>
  <c r="K295" i="2"/>
  <c r="J295" i="2"/>
  <c r="H295" i="2"/>
  <c r="K294" i="2"/>
  <c r="J294" i="2"/>
  <c r="H294" i="2"/>
  <c r="K293" i="2"/>
  <c r="J293" i="2"/>
  <c r="H293" i="2"/>
  <c r="K292" i="2"/>
  <c r="J292" i="2"/>
  <c r="H292" i="2"/>
  <c r="K291" i="2"/>
  <c r="J291" i="2"/>
  <c r="H291" i="2"/>
  <c r="K290" i="2"/>
  <c r="J290" i="2"/>
  <c r="H290" i="2"/>
  <c r="K289" i="2"/>
  <c r="J289" i="2"/>
  <c r="H289" i="2"/>
  <c r="K288" i="2"/>
  <c r="J288" i="2"/>
  <c r="H288" i="2"/>
  <c r="K287" i="2"/>
  <c r="J287" i="2"/>
  <c r="H287" i="2"/>
  <c r="K286" i="2"/>
  <c r="J286" i="2"/>
  <c r="H286" i="2"/>
  <c r="K285" i="2"/>
  <c r="J285" i="2"/>
  <c r="H285" i="2"/>
  <c r="K284" i="2"/>
  <c r="J284" i="2"/>
  <c r="H284" i="2"/>
  <c r="K283" i="2"/>
  <c r="J283" i="2"/>
  <c r="H283" i="2"/>
  <c r="K282" i="2"/>
  <c r="J282" i="2"/>
  <c r="H282" i="2"/>
  <c r="K281" i="2"/>
  <c r="J281" i="2"/>
  <c r="H281" i="2"/>
  <c r="K280" i="2"/>
  <c r="J280" i="2"/>
  <c r="H280" i="2"/>
  <c r="K279" i="2"/>
  <c r="J279" i="2"/>
  <c r="H279" i="2"/>
  <c r="K278" i="2"/>
  <c r="J278" i="2"/>
  <c r="H278" i="2"/>
  <c r="K277" i="2"/>
  <c r="J277" i="2"/>
  <c r="H277" i="2"/>
  <c r="K276" i="2"/>
  <c r="J276" i="2"/>
  <c r="H276" i="2"/>
  <c r="K275" i="2"/>
  <c r="J275" i="2"/>
  <c r="H275" i="2"/>
  <c r="K274" i="2"/>
  <c r="J274" i="2"/>
  <c r="H274" i="2"/>
  <c r="K273" i="2"/>
  <c r="J273" i="2"/>
  <c r="H273" i="2"/>
  <c r="K272" i="2"/>
  <c r="J272" i="2"/>
  <c r="H272" i="2"/>
  <c r="K271" i="2"/>
  <c r="J271" i="2"/>
  <c r="H271" i="2"/>
  <c r="K270" i="2"/>
  <c r="J270" i="2"/>
  <c r="H270" i="2"/>
  <c r="K269" i="2"/>
  <c r="J269" i="2"/>
  <c r="H269" i="2"/>
  <c r="K268" i="2"/>
  <c r="J268" i="2"/>
  <c r="H268" i="2"/>
  <c r="K267" i="2"/>
  <c r="J267" i="2"/>
  <c r="H267" i="2"/>
  <c r="K266" i="2"/>
  <c r="J266" i="2"/>
  <c r="H266" i="2"/>
  <c r="K265" i="2"/>
  <c r="J265" i="2"/>
  <c r="H265" i="2"/>
  <c r="K264" i="2"/>
  <c r="J264" i="2"/>
  <c r="H264" i="2"/>
  <c r="K263" i="2"/>
  <c r="J263" i="2"/>
  <c r="H263" i="2"/>
  <c r="K262" i="2"/>
  <c r="J262" i="2"/>
  <c r="H262" i="2"/>
  <c r="K261" i="2"/>
  <c r="J261" i="2"/>
  <c r="H261" i="2"/>
  <c r="K260" i="2"/>
  <c r="J260" i="2"/>
  <c r="H260" i="2"/>
  <c r="K259" i="2"/>
  <c r="J259" i="2"/>
  <c r="H259" i="2"/>
  <c r="K258" i="2"/>
  <c r="J258" i="2"/>
  <c r="H258" i="2"/>
  <c r="K257" i="2"/>
  <c r="J257" i="2"/>
  <c r="H257" i="2"/>
  <c r="K256" i="2"/>
  <c r="J256" i="2"/>
  <c r="H256" i="2"/>
  <c r="K255" i="2"/>
  <c r="J255" i="2"/>
  <c r="H255" i="2"/>
  <c r="K254" i="2"/>
  <c r="J254" i="2"/>
  <c r="H254" i="2"/>
  <c r="K253" i="2"/>
  <c r="J253" i="2"/>
  <c r="H253" i="2"/>
  <c r="K252" i="2"/>
  <c r="J252" i="2"/>
  <c r="H252" i="2"/>
  <c r="K251" i="2"/>
  <c r="J251" i="2"/>
  <c r="H251" i="2"/>
  <c r="K250" i="2"/>
  <c r="J250" i="2"/>
  <c r="H250" i="2"/>
  <c r="K249" i="2"/>
  <c r="J249" i="2"/>
  <c r="H249" i="2"/>
  <c r="K248" i="2"/>
  <c r="J248" i="2"/>
  <c r="H248" i="2"/>
  <c r="K247" i="2"/>
  <c r="J247" i="2"/>
  <c r="H247" i="2"/>
  <c r="K246" i="2"/>
  <c r="J246" i="2"/>
  <c r="H246" i="2"/>
  <c r="K245" i="2"/>
  <c r="J245" i="2"/>
  <c r="H245" i="2"/>
  <c r="K244" i="2"/>
  <c r="J244" i="2"/>
  <c r="H244" i="2"/>
  <c r="K243" i="2"/>
  <c r="J243" i="2"/>
  <c r="H243" i="2"/>
  <c r="K242" i="2"/>
  <c r="J242" i="2"/>
  <c r="H242" i="2"/>
  <c r="K241" i="2"/>
  <c r="J241" i="2"/>
  <c r="H241" i="2"/>
  <c r="K240" i="2"/>
  <c r="J240" i="2"/>
  <c r="H240" i="2"/>
  <c r="K239" i="2"/>
  <c r="J239" i="2"/>
  <c r="H239" i="2"/>
  <c r="K238" i="2"/>
  <c r="J238" i="2"/>
  <c r="H238" i="2"/>
  <c r="K237" i="2"/>
  <c r="J237" i="2"/>
  <c r="H237" i="2"/>
  <c r="K236" i="2"/>
  <c r="J236" i="2"/>
  <c r="H236" i="2"/>
  <c r="K235" i="2"/>
  <c r="J235" i="2"/>
  <c r="H235" i="2"/>
  <c r="K234" i="2"/>
  <c r="J234" i="2"/>
  <c r="H234" i="2"/>
  <c r="K233" i="2"/>
  <c r="J233" i="2"/>
  <c r="H233" i="2"/>
  <c r="K232" i="2"/>
  <c r="J232" i="2"/>
  <c r="H232" i="2"/>
  <c r="K231" i="2"/>
  <c r="J231" i="2"/>
  <c r="H231" i="2"/>
  <c r="K230" i="2"/>
  <c r="J230" i="2"/>
  <c r="H230" i="2"/>
  <c r="K229" i="2"/>
  <c r="J229" i="2"/>
  <c r="H229" i="2"/>
  <c r="K228" i="2"/>
  <c r="J228" i="2"/>
  <c r="H228" i="2"/>
  <c r="K227" i="2"/>
  <c r="J227" i="2"/>
  <c r="H227" i="2"/>
  <c r="K226" i="2"/>
  <c r="J226" i="2"/>
  <c r="H226" i="2"/>
  <c r="K225" i="2"/>
  <c r="J225" i="2"/>
  <c r="H225" i="2"/>
  <c r="K224" i="2"/>
  <c r="J224" i="2"/>
  <c r="H224" i="2"/>
  <c r="K223" i="2"/>
  <c r="J223" i="2"/>
  <c r="H223" i="2"/>
  <c r="K222" i="2"/>
  <c r="J222" i="2"/>
  <c r="H222" i="2"/>
  <c r="K221" i="2"/>
  <c r="J221" i="2"/>
  <c r="H221" i="2"/>
  <c r="K220" i="2"/>
  <c r="J220" i="2"/>
  <c r="H220" i="2"/>
  <c r="K219" i="2"/>
  <c r="J219" i="2"/>
  <c r="H219" i="2"/>
  <c r="K218" i="2"/>
  <c r="J218" i="2"/>
  <c r="H218" i="2"/>
  <c r="K217" i="2"/>
  <c r="J217" i="2"/>
  <c r="H217" i="2"/>
  <c r="K216" i="2"/>
  <c r="J216" i="2"/>
  <c r="H216" i="2"/>
  <c r="K215" i="2"/>
  <c r="J215" i="2"/>
  <c r="H215" i="2"/>
  <c r="K214" i="2"/>
  <c r="J214" i="2"/>
  <c r="H214" i="2"/>
  <c r="K213" i="2"/>
  <c r="J213" i="2"/>
  <c r="H213" i="2"/>
  <c r="K212" i="2"/>
  <c r="J212" i="2"/>
  <c r="H212" i="2"/>
  <c r="K211" i="2"/>
  <c r="J211" i="2"/>
  <c r="H211" i="2"/>
  <c r="K210" i="2"/>
  <c r="J210" i="2"/>
  <c r="H210" i="2"/>
  <c r="K209" i="2"/>
  <c r="J209" i="2"/>
  <c r="H209" i="2"/>
  <c r="K208" i="2"/>
  <c r="J208" i="2"/>
  <c r="H208" i="2"/>
  <c r="K207" i="2"/>
  <c r="J207" i="2"/>
  <c r="H207" i="2"/>
  <c r="K206" i="2"/>
  <c r="J206" i="2"/>
  <c r="H206" i="2"/>
  <c r="K205" i="2"/>
  <c r="J205" i="2"/>
  <c r="H205" i="2"/>
  <c r="K204" i="2"/>
  <c r="J204" i="2"/>
  <c r="H204" i="2"/>
  <c r="K203" i="2"/>
  <c r="J203" i="2"/>
  <c r="H203" i="2"/>
  <c r="K202" i="2"/>
  <c r="J202" i="2"/>
  <c r="H202" i="2"/>
  <c r="K201" i="2"/>
  <c r="J201" i="2"/>
  <c r="H201" i="2"/>
  <c r="K200" i="2"/>
  <c r="J200" i="2"/>
  <c r="H200" i="2"/>
  <c r="K199" i="2"/>
  <c r="J199" i="2"/>
  <c r="H199" i="2"/>
  <c r="K198" i="2"/>
  <c r="J198" i="2"/>
  <c r="H198" i="2"/>
  <c r="K197" i="2"/>
  <c r="J197" i="2"/>
  <c r="H197" i="2"/>
  <c r="K196" i="2"/>
  <c r="J196" i="2"/>
  <c r="H196" i="2"/>
  <c r="K195" i="2"/>
  <c r="J195" i="2"/>
  <c r="H195" i="2"/>
  <c r="K194" i="2"/>
  <c r="J194" i="2"/>
  <c r="H194" i="2"/>
  <c r="K193" i="2"/>
  <c r="J193" i="2"/>
  <c r="H193" i="2"/>
  <c r="K192" i="2"/>
  <c r="J192" i="2"/>
  <c r="H192" i="2"/>
  <c r="K191" i="2"/>
  <c r="J191" i="2"/>
  <c r="H191" i="2"/>
  <c r="K190" i="2"/>
  <c r="J190" i="2"/>
  <c r="H190" i="2"/>
  <c r="K189" i="2"/>
  <c r="J189" i="2"/>
  <c r="H189" i="2"/>
  <c r="K188" i="2"/>
  <c r="J188" i="2"/>
  <c r="H188" i="2"/>
  <c r="K187" i="2"/>
  <c r="J187" i="2"/>
  <c r="H187" i="2"/>
  <c r="K186" i="2"/>
  <c r="J186" i="2"/>
  <c r="H186" i="2"/>
  <c r="K185" i="2"/>
  <c r="J185" i="2"/>
  <c r="H185" i="2"/>
  <c r="K184" i="2"/>
  <c r="J184" i="2"/>
  <c r="H184" i="2"/>
  <c r="K183" i="2"/>
  <c r="J183" i="2"/>
  <c r="H183" i="2"/>
  <c r="K182" i="2"/>
  <c r="J182" i="2"/>
  <c r="H182" i="2"/>
  <c r="K181" i="2"/>
  <c r="J181" i="2"/>
  <c r="H181" i="2"/>
  <c r="K180" i="2"/>
  <c r="J180" i="2"/>
  <c r="H180" i="2"/>
  <c r="K179" i="2"/>
  <c r="J179" i="2"/>
  <c r="H179" i="2"/>
  <c r="K178" i="2"/>
  <c r="J178" i="2"/>
  <c r="H178" i="2"/>
  <c r="K177" i="2"/>
  <c r="J177" i="2"/>
  <c r="H177" i="2"/>
  <c r="K176" i="2"/>
  <c r="J176" i="2"/>
  <c r="H176" i="2"/>
  <c r="K175" i="2"/>
  <c r="J175" i="2"/>
  <c r="H175" i="2"/>
  <c r="K174" i="2"/>
  <c r="J174" i="2"/>
  <c r="H174" i="2"/>
  <c r="K173" i="2"/>
  <c r="J173" i="2"/>
  <c r="H173" i="2"/>
  <c r="K172" i="2"/>
  <c r="J172" i="2"/>
  <c r="H172" i="2"/>
  <c r="K171" i="2"/>
  <c r="J171" i="2"/>
  <c r="H171" i="2"/>
  <c r="K170" i="2"/>
  <c r="J170" i="2"/>
  <c r="H170" i="2"/>
  <c r="K169" i="2"/>
  <c r="J169" i="2"/>
  <c r="H169" i="2"/>
  <c r="K168" i="2"/>
  <c r="J168" i="2"/>
  <c r="H168" i="2"/>
  <c r="K167" i="2"/>
  <c r="J167" i="2"/>
  <c r="H167" i="2"/>
  <c r="K166" i="2"/>
  <c r="J166" i="2"/>
  <c r="H166" i="2"/>
  <c r="K165" i="2"/>
  <c r="J165" i="2"/>
  <c r="H165" i="2"/>
  <c r="K164" i="2"/>
  <c r="J164" i="2"/>
  <c r="H164" i="2"/>
  <c r="K163" i="2"/>
  <c r="J163" i="2"/>
  <c r="H163" i="2"/>
  <c r="K162" i="2"/>
  <c r="J162" i="2"/>
  <c r="H162" i="2"/>
  <c r="K161" i="2"/>
  <c r="J161" i="2"/>
  <c r="H161" i="2"/>
  <c r="K160" i="2"/>
  <c r="J160" i="2"/>
  <c r="H160" i="2"/>
  <c r="K159" i="2"/>
  <c r="J159" i="2"/>
  <c r="H159" i="2"/>
  <c r="K158" i="2"/>
  <c r="J158" i="2"/>
  <c r="H158" i="2"/>
  <c r="K157" i="2"/>
  <c r="J157" i="2"/>
  <c r="H157" i="2"/>
  <c r="K156" i="2"/>
  <c r="J156" i="2"/>
  <c r="H156" i="2"/>
  <c r="K155" i="2"/>
  <c r="J155" i="2"/>
  <c r="H155" i="2"/>
  <c r="K154" i="2"/>
  <c r="J154" i="2"/>
  <c r="H154" i="2"/>
  <c r="K153" i="2"/>
  <c r="J153" i="2"/>
  <c r="H153" i="2"/>
  <c r="K152" i="2"/>
  <c r="J152" i="2"/>
  <c r="H152" i="2"/>
  <c r="K151" i="2"/>
  <c r="J151" i="2"/>
  <c r="H151" i="2"/>
  <c r="K150" i="2"/>
  <c r="J150" i="2"/>
  <c r="H150" i="2"/>
  <c r="K149" i="2"/>
  <c r="J149" i="2"/>
  <c r="H149" i="2"/>
  <c r="K148" i="2"/>
  <c r="J148" i="2"/>
  <c r="H148" i="2"/>
  <c r="K147" i="2"/>
  <c r="J147" i="2"/>
  <c r="H147" i="2"/>
  <c r="K146" i="2"/>
  <c r="J146" i="2"/>
  <c r="H146" i="2"/>
  <c r="K145" i="2"/>
  <c r="J145" i="2"/>
  <c r="H145" i="2"/>
  <c r="K144" i="2"/>
  <c r="J144" i="2"/>
  <c r="H144" i="2"/>
  <c r="K143" i="2"/>
  <c r="J143" i="2"/>
  <c r="H143" i="2"/>
  <c r="K142" i="2"/>
  <c r="J142" i="2"/>
  <c r="H142" i="2"/>
  <c r="K141" i="2"/>
  <c r="J141" i="2"/>
  <c r="H141" i="2"/>
  <c r="K140" i="2"/>
  <c r="J140" i="2"/>
  <c r="H140" i="2"/>
  <c r="K139" i="2"/>
  <c r="J139" i="2"/>
  <c r="H139" i="2"/>
  <c r="K138" i="2"/>
  <c r="J138" i="2"/>
  <c r="H138" i="2"/>
  <c r="K137" i="2"/>
  <c r="J137" i="2"/>
  <c r="H137" i="2"/>
  <c r="K136" i="2"/>
  <c r="J136" i="2"/>
  <c r="H136" i="2"/>
  <c r="K135" i="2"/>
  <c r="J135" i="2"/>
  <c r="H135" i="2"/>
  <c r="K134" i="2"/>
  <c r="J134" i="2"/>
  <c r="H134" i="2"/>
  <c r="K133" i="2"/>
  <c r="J133" i="2"/>
  <c r="H133" i="2"/>
  <c r="K132" i="2"/>
  <c r="J132" i="2"/>
  <c r="H132" i="2"/>
  <c r="K131" i="2"/>
  <c r="J131" i="2"/>
  <c r="H131" i="2"/>
  <c r="K130" i="2"/>
  <c r="J130" i="2"/>
  <c r="H130" i="2"/>
  <c r="K129" i="2"/>
  <c r="J129" i="2"/>
  <c r="H129" i="2"/>
  <c r="K128" i="2"/>
  <c r="J128" i="2"/>
  <c r="H128" i="2"/>
  <c r="K127" i="2"/>
  <c r="J127" i="2"/>
  <c r="H127" i="2"/>
  <c r="K126" i="2"/>
  <c r="J126" i="2"/>
  <c r="H126" i="2"/>
  <c r="K125" i="2"/>
  <c r="J125" i="2"/>
  <c r="H125" i="2"/>
  <c r="K124" i="2"/>
  <c r="J124" i="2"/>
  <c r="H124" i="2"/>
  <c r="K123" i="2"/>
  <c r="J123" i="2"/>
  <c r="H123" i="2"/>
  <c r="K122" i="2"/>
  <c r="J122" i="2"/>
  <c r="H122" i="2"/>
  <c r="K121" i="2"/>
  <c r="J121" i="2"/>
  <c r="H121" i="2"/>
  <c r="K120" i="2"/>
  <c r="J120" i="2"/>
  <c r="H120" i="2"/>
  <c r="K119" i="2"/>
  <c r="J119" i="2"/>
  <c r="H119" i="2"/>
  <c r="K118" i="2"/>
  <c r="J118" i="2"/>
  <c r="H118" i="2"/>
  <c r="K117" i="2"/>
  <c r="J117" i="2"/>
  <c r="H117" i="2"/>
  <c r="K116" i="2"/>
  <c r="J116" i="2"/>
  <c r="H116" i="2"/>
  <c r="K115" i="2"/>
  <c r="J115" i="2"/>
  <c r="H115" i="2"/>
  <c r="K114" i="2"/>
  <c r="J114" i="2"/>
  <c r="H114" i="2"/>
  <c r="K113" i="2"/>
  <c r="J113" i="2"/>
  <c r="H113" i="2"/>
  <c r="K112" i="2"/>
  <c r="J112" i="2"/>
  <c r="H112" i="2"/>
  <c r="K111" i="2"/>
  <c r="J111" i="2"/>
  <c r="H111" i="2"/>
  <c r="K110" i="2"/>
  <c r="J110" i="2"/>
  <c r="H110" i="2"/>
  <c r="K109" i="2"/>
  <c r="J109" i="2"/>
  <c r="H109" i="2"/>
  <c r="K108" i="2"/>
  <c r="J108" i="2"/>
  <c r="H108" i="2"/>
  <c r="K107" i="2"/>
  <c r="J107" i="2"/>
  <c r="H107" i="2"/>
  <c r="K106" i="2"/>
  <c r="J106" i="2"/>
  <c r="H106" i="2"/>
  <c r="K105" i="2"/>
  <c r="J105" i="2"/>
  <c r="H105" i="2"/>
  <c r="K104" i="2"/>
  <c r="J104" i="2"/>
  <c r="H104" i="2"/>
  <c r="K103" i="2"/>
  <c r="J103" i="2"/>
  <c r="H103" i="2"/>
  <c r="K102" i="2"/>
  <c r="J102" i="2"/>
  <c r="H102" i="2"/>
  <c r="K101" i="2"/>
  <c r="J101" i="2"/>
  <c r="H101" i="2"/>
  <c r="K100" i="2"/>
  <c r="J100" i="2"/>
  <c r="H100" i="2"/>
  <c r="K99" i="2"/>
  <c r="J99" i="2"/>
  <c r="H99" i="2"/>
  <c r="K98" i="2"/>
  <c r="J98" i="2"/>
  <c r="H98" i="2"/>
  <c r="K97" i="2"/>
  <c r="J97" i="2"/>
  <c r="H97" i="2"/>
  <c r="K96" i="2"/>
  <c r="J96" i="2"/>
  <c r="H96" i="2"/>
  <c r="K95" i="2"/>
  <c r="J95" i="2"/>
  <c r="H95" i="2"/>
  <c r="K94" i="2"/>
  <c r="J94" i="2"/>
  <c r="H94" i="2"/>
  <c r="K93" i="2"/>
  <c r="J93" i="2"/>
  <c r="H93" i="2"/>
  <c r="K92" i="2"/>
  <c r="J92" i="2"/>
  <c r="H92" i="2"/>
  <c r="K91" i="2"/>
  <c r="J91" i="2"/>
  <c r="H91" i="2"/>
  <c r="K90" i="2"/>
  <c r="J90" i="2"/>
  <c r="H90" i="2"/>
  <c r="K89" i="2"/>
  <c r="J89" i="2"/>
  <c r="H89" i="2"/>
  <c r="K88" i="2"/>
  <c r="J88" i="2"/>
  <c r="H88" i="2"/>
  <c r="K87" i="2"/>
  <c r="J87" i="2"/>
  <c r="H87" i="2"/>
  <c r="K86" i="2"/>
  <c r="J86" i="2"/>
  <c r="H86" i="2"/>
  <c r="K85" i="2"/>
  <c r="J85" i="2"/>
  <c r="H85" i="2"/>
  <c r="K84" i="2"/>
  <c r="J84" i="2"/>
  <c r="H84" i="2"/>
  <c r="K83" i="2"/>
  <c r="J83" i="2"/>
  <c r="H83" i="2"/>
  <c r="K82" i="2"/>
  <c r="J82" i="2"/>
  <c r="H82" i="2"/>
  <c r="K81" i="2"/>
  <c r="J81" i="2"/>
  <c r="H81" i="2"/>
  <c r="K80" i="2"/>
  <c r="J80" i="2"/>
  <c r="H80" i="2"/>
  <c r="K79" i="2"/>
  <c r="J79" i="2"/>
  <c r="H79" i="2"/>
  <c r="K78" i="2"/>
  <c r="J78" i="2"/>
  <c r="H78" i="2"/>
  <c r="K77" i="2"/>
  <c r="J77" i="2"/>
  <c r="H77" i="2"/>
  <c r="K76" i="2"/>
  <c r="J76" i="2"/>
  <c r="H76" i="2"/>
  <c r="K75" i="2"/>
  <c r="J75" i="2"/>
  <c r="H75" i="2"/>
  <c r="K74" i="2"/>
  <c r="J74" i="2"/>
  <c r="H74" i="2"/>
  <c r="K73" i="2"/>
  <c r="J73" i="2"/>
  <c r="H73" i="2"/>
  <c r="K72" i="2"/>
  <c r="J72" i="2"/>
  <c r="H72" i="2"/>
  <c r="K71" i="2"/>
  <c r="J71" i="2"/>
  <c r="H71" i="2"/>
  <c r="K70" i="2"/>
  <c r="J70" i="2"/>
  <c r="H70" i="2"/>
  <c r="K69" i="2"/>
  <c r="J69" i="2"/>
  <c r="H69" i="2"/>
  <c r="K68" i="2"/>
  <c r="J68" i="2"/>
  <c r="H68" i="2"/>
  <c r="K67" i="2"/>
  <c r="J67" i="2"/>
  <c r="H67" i="2"/>
  <c r="K66" i="2"/>
  <c r="J66" i="2"/>
  <c r="H66" i="2"/>
  <c r="K65" i="2"/>
  <c r="J65" i="2"/>
  <c r="H65" i="2"/>
  <c r="K64" i="2"/>
  <c r="J64" i="2"/>
  <c r="H64" i="2"/>
  <c r="K63" i="2"/>
  <c r="J63" i="2"/>
  <c r="H63" i="2"/>
  <c r="K62" i="2"/>
  <c r="J62" i="2"/>
  <c r="H62" i="2"/>
  <c r="K61" i="2"/>
  <c r="J61" i="2"/>
  <c r="H61" i="2"/>
  <c r="K60" i="2"/>
  <c r="J60" i="2"/>
  <c r="H60" i="2"/>
  <c r="K59" i="2"/>
  <c r="J59" i="2"/>
  <c r="H59" i="2"/>
  <c r="K58" i="2"/>
  <c r="J58" i="2"/>
  <c r="H58" i="2"/>
  <c r="K57" i="2"/>
  <c r="J57" i="2"/>
  <c r="H57" i="2"/>
  <c r="K56" i="2"/>
  <c r="J56" i="2"/>
  <c r="H56" i="2"/>
  <c r="K55" i="2"/>
  <c r="J55" i="2"/>
  <c r="H55" i="2"/>
  <c r="K54" i="2"/>
  <c r="J54" i="2"/>
  <c r="H54" i="2"/>
  <c r="K53" i="2"/>
  <c r="J53" i="2"/>
  <c r="H53" i="2"/>
  <c r="K52" i="2"/>
  <c r="J52" i="2"/>
  <c r="H52" i="2"/>
  <c r="K51" i="2"/>
  <c r="J51" i="2"/>
  <c r="H51" i="2"/>
  <c r="K50" i="2"/>
  <c r="J50" i="2"/>
  <c r="H50" i="2"/>
  <c r="K49" i="2"/>
  <c r="J49" i="2"/>
  <c r="H49" i="2"/>
  <c r="K48" i="2"/>
  <c r="J48" i="2"/>
  <c r="H48" i="2"/>
  <c r="K47" i="2"/>
  <c r="J47" i="2"/>
  <c r="H47" i="2"/>
  <c r="K46" i="2"/>
  <c r="J46" i="2"/>
  <c r="H46" i="2"/>
  <c r="K45" i="2"/>
  <c r="J45" i="2"/>
  <c r="H45" i="2"/>
  <c r="K44" i="2"/>
  <c r="J44" i="2"/>
  <c r="H44" i="2"/>
  <c r="K43" i="2"/>
  <c r="J43" i="2"/>
  <c r="H43" i="2"/>
  <c r="K42" i="2"/>
  <c r="J42" i="2"/>
  <c r="H42" i="2"/>
  <c r="K41" i="2"/>
  <c r="J41" i="2"/>
  <c r="H41" i="2"/>
  <c r="K40" i="2"/>
  <c r="J40" i="2"/>
  <c r="H40" i="2"/>
  <c r="K39" i="2"/>
  <c r="J39" i="2"/>
  <c r="H39" i="2"/>
  <c r="K38" i="2"/>
  <c r="J38" i="2"/>
  <c r="H38" i="2"/>
  <c r="K37" i="2"/>
  <c r="J37" i="2"/>
  <c r="H37" i="2"/>
  <c r="K36" i="2"/>
  <c r="J36" i="2"/>
  <c r="H36" i="2"/>
  <c r="K35" i="2"/>
  <c r="J35" i="2"/>
  <c r="H35" i="2"/>
  <c r="K34" i="2"/>
  <c r="J34" i="2"/>
  <c r="H34" i="2"/>
  <c r="K33" i="2"/>
  <c r="J33" i="2"/>
  <c r="H33" i="2"/>
  <c r="K32" i="2"/>
  <c r="J32" i="2"/>
  <c r="H32" i="2"/>
  <c r="K31" i="2"/>
  <c r="J31" i="2"/>
  <c r="H31" i="2"/>
  <c r="K30" i="2"/>
  <c r="J30" i="2"/>
  <c r="H30" i="2"/>
  <c r="K29" i="2"/>
  <c r="J29" i="2"/>
  <c r="H29" i="2"/>
  <c r="K28" i="2"/>
  <c r="J28" i="2"/>
  <c r="H28" i="2"/>
  <c r="K27" i="2"/>
  <c r="J27" i="2"/>
  <c r="H27" i="2"/>
  <c r="K26" i="2"/>
  <c r="J26" i="2"/>
  <c r="H26" i="2"/>
  <c r="K25" i="2"/>
  <c r="J25" i="2"/>
  <c r="H25" i="2"/>
  <c r="K24" i="2"/>
  <c r="J24" i="2"/>
  <c r="H24" i="2"/>
  <c r="K23" i="2"/>
  <c r="J23" i="2"/>
  <c r="H23" i="2"/>
  <c r="K22" i="2"/>
  <c r="J22" i="2"/>
  <c r="H22" i="2"/>
  <c r="K21" i="2"/>
  <c r="J21" i="2"/>
  <c r="H21" i="2"/>
  <c r="K20" i="2"/>
  <c r="J20" i="2"/>
  <c r="H20" i="2"/>
  <c r="K19" i="2"/>
  <c r="J19" i="2"/>
  <c r="H19" i="2"/>
  <c r="K18" i="2"/>
  <c r="J18" i="2"/>
  <c r="H18" i="2"/>
  <c r="K17" i="2"/>
  <c r="J17" i="2"/>
  <c r="H17" i="2"/>
  <c r="K16" i="2"/>
  <c r="J16" i="2"/>
  <c r="H16" i="2"/>
  <c r="K15" i="2"/>
  <c r="J15" i="2"/>
  <c r="H15" i="2"/>
  <c r="K14" i="2"/>
  <c r="J14" i="2"/>
  <c r="H14" i="2"/>
  <c r="K13" i="2"/>
  <c r="J13" i="2"/>
  <c r="H13" i="2"/>
  <c r="K12" i="2"/>
  <c r="J12" i="2"/>
  <c r="H12" i="2"/>
  <c r="K11" i="2"/>
  <c r="J11" i="2"/>
  <c r="H11" i="2"/>
  <c r="K10" i="2"/>
  <c r="J10" i="2"/>
  <c r="H10" i="2"/>
  <c r="K9" i="2"/>
  <c r="J9" i="2"/>
  <c r="H9" i="2"/>
  <c r="K8" i="2"/>
  <c r="J8" i="2"/>
  <c r="H8" i="2"/>
  <c r="K7" i="2"/>
  <c r="J7" i="2"/>
  <c r="H7" i="2"/>
  <c r="K6" i="2"/>
  <c r="J6" i="2"/>
  <c r="H6" i="2"/>
  <c r="K5" i="2"/>
  <c r="J5" i="2"/>
  <c r="H5" i="2"/>
  <c r="K4" i="2"/>
  <c r="J4" i="2"/>
  <c r="H4" i="2"/>
  <c r="K3" i="2"/>
  <c r="J3" i="2"/>
  <c r="H3" i="2"/>
  <c r="K2" i="2"/>
  <c r="J2" i="2"/>
  <c r="H2" i="2"/>
  <c r="B10" i="1"/>
  <c r="B9" i="1"/>
  <c r="C8" i="1"/>
  <c r="B8" i="1"/>
  <c r="C7" i="1"/>
  <c r="B7" i="1"/>
  <c r="D7" i="1" s="1"/>
  <c r="C6" i="1"/>
  <c r="B6" i="1"/>
  <c r="D6" i="1" s="1"/>
  <c r="P37" i="4" l="1"/>
  <c r="P73" i="4"/>
  <c r="P21" i="4"/>
  <c r="P63" i="4"/>
  <c r="P5" i="4"/>
  <c r="D8" i="1"/>
  <c r="P57" i="4"/>
  <c r="P89" i="4"/>
  <c r="P11" i="4"/>
  <c r="P43" i="4"/>
  <c r="P53" i="4"/>
  <c r="P85" i="4"/>
  <c r="P17" i="4"/>
  <c r="P33" i="4"/>
  <c r="P49" i="4"/>
  <c r="P23" i="4"/>
  <c r="P39" i="4"/>
  <c r="P29" i="4"/>
  <c r="P65" i="4"/>
  <c r="P3" i="4"/>
  <c r="P45" i="4"/>
  <c r="P71" i="4"/>
  <c r="P61" i="4"/>
  <c r="P9" i="4"/>
  <c r="P51" i="4"/>
  <c r="P77" i="4"/>
  <c r="P99" i="4"/>
  <c r="P2" i="4"/>
  <c r="P6" i="4"/>
  <c r="P10" i="4"/>
  <c r="P14" i="4"/>
  <c r="P18" i="4"/>
  <c r="P22" i="4"/>
  <c r="P26" i="4"/>
  <c r="P30" i="4"/>
  <c r="P34" i="4"/>
  <c r="P42" i="4"/>
  <c r="P46" i="4"/>
  <c r="P50" i="4"/>
  <c r="P54" i="4"/>
  <c r="P62" i="4"/>
  <c r="P66" i="4"/>
  <c r="P70" i="4"/>
  <c r="P74" i="4"/>
  <c r="P78" i="4"/>
  <c r="P82" i="4"/>
  <c r="P86" i="4"/>
  <c r="P90" i="4"/>
  <c r="P94" i="4"/>
  <c r="P98" i="4"/>
  <c r="P102" i="4"/>
  <c r="P15" i="4"/>
  <c r="P19" i="4"/>
  <c r="P27" i="4"/>
  <c r="P31" i="4"/>
  <c r="P35" i="4"/>
  <c r="P59" i="4"/>
  <c r="P79" i="4"/>
  <c r="P83" i="4"/>
  <c r="P91" i="4"/>
  <c r="P95" i="4"/>
  <c r="P103" i="4"/>
  <c r="P7" i="4"/>
  <c r="P47" i="4"/>
  <c r="P55" i="4"/>
  <c r="P67" i="4"/>
  <c r="P32" i="4"/>
  <c r="P40" i="4"/>
  <c r="P68" i="4"/>
  <c r="P80" i="4"/>
  <c r="P92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M1" authorId="0" shapeId="0" xr:uid="{00000000-0006-0000-0200-000001000000}">
      <text>
        <r>
          <rPr>
            <sz val="10"/>
            <rFont val="Arial"/>
            <family val="2"/>
          </rPr>
          <t>Règle générale : 70 ans après la mort, à partir du 1er janvier suivant. Indicatif : des exceptions existent (prorogations de guerre en France).</t>
        </r>
      </text>
    </comment>
  </commentList>
</comments>
</file>

<file path=xl/sharedStrings.xml><?xml version="1.0" encoding="utf-8"?>
<sst xmlns="http://schemas.openxmlformats.org/spreadsheetml/2006/main" count="1374" uniqueCount="640">
  <si>
    <t>Frise de l'art moderne (1874-1960) — base de données</t>
  </si>
  <si>
    <t>Préremplie à partir de la Bible de l'art (faits uniquement : noms, dates, œuvres). Les textes sont à rédiger par toi.</t>
  </si>
  <si>
    <t>Avancement</t>
  </si>
  <si>
    <t>Onglet</t>
  </si>
  <si>
    <t>Lignes</t>
  </si>
  <si>
    <t>Fiches rédigées</t>
  </si>
  <si>
    <t>% fiches</t>
  </si>
  <si>
    <t>Mouvements</t>
  </si>
  <si>
    <t>Artistes</t>
  </si>
  <si>
    <t>Œuvres</t>
  </si>
  <si>
    <t>Événements</t>
  </si>
  <si>
    <t>Influences</t>
  </si>
  <si>
    <t>Code couleur des en-têtes</t>
  </si>
  <si>
    <t>Données factuelles, préremplies : à vérifier et corriger si besoin.</t>
  </si>
  <si>
    <t>Texte court à rédiger toi-même.</t>
  </si>
  <si>
    <t>Calcul automatique : ne rien écrire.</t>
  </si>
  <si>
    <t>Cellule jaune dans « Notes » : une correction ou une décision à prendre sur cette ligne.</t>
  </si>
  <si>
    <t>Règles</t>
  </si>
  <si>
    <t>Identifiants</t>
  </si>
  <si>
    <t>En minuscules, sans accents, avec des tirets. Ils relient les onglets et donnent leur nom aux fiches (fauvisme → mouvements/fauvisme.md). Ne les change plus une fois utilisés.</t>
  </si>
  <si>
    <t>Résumé court ≠ fiche</t>
  </si>
  <si>
    <t>Le résumé (1 phrase) s'affiche sur la frise. Le contenu détaillé va dans la fiche Markdown du même identifiant.</t>
  </si>
  <si>
    <t>Statut fiche</t>
  </si>
  <si>
    <t>Passe-le à « rédigée » quand la fiche est terminée : le tableau d'avancement se met à jour.</t>
  </si>
  <si>
    <t>Œuvres hors bande</t>
  </si>
  <si>
    <t>Une œuvre peinte après la fin du mouvement (Guernica, Jazz…) tombera hors de la bande colorée. C'est normal : garde-la ou supprime-la selon ce que tu veux montrer.</t>
  </si>
  <si>
    <t>Œuvres majeures</t>
  </si>
  <si>
    <t>La colonne « Majeure (Bible) » repère les œuvres que tu avais toi-même mises en avant : bon point de départ pour décider quoi garder.</t>
  </si>
  <si>
    <t>Images</t>
  </si>
  <si>
    <t>Wikimedia Commons pour le domaine public, sinon lien vers la page du musée.</t>
  </si>
  <si>
    <t>ID</t>
  </si>
  <si>
    <t>Nom</t>
  </si>
  <si>
    <t>Début</t>
  </si>
  <si>
    <t>Fin</t>
  </si>
  <si>
    <t>Lieu</t>
  </si>
  <si>
    <t>Couleur</t>
  </si>
  <si>
    <t>Résumé court (1 phrase)</t>
  </si>
  <si>
    <t>Fichier fiche</t>
  </si>
  <si>
    <t>Nb artistes</t>
  </si>
  <si>
    <t>Nb œuvres</t>
  </si>
  <si>
    <t>Notes / corrections</t>
  </si>
  <si>
    <t>impressionnisme</t>
  </si>
  <si>
    <t>Impressionnisme</t>
  </si>
  <si>
    <t>France (Paris)</t>
  </si>
  <si>
    <t>#2874A6</t>
  </si>
  <si>
    <t>Sortir de l’atelier pour saisir la lumière et l’instant.</t>
  </si>
  <si>
    <t>rédigée</t>
  </si>
  <si>
    <t>Bible : 1860-1890. Ramené à 1874 (1re exposition, début du périmètre) - 1886 (dernière exposition, citée dans ta Bible).</t>
  </si>
  <si>
    <t>post-impressionnisme</t>
  </si>
  <si>
    <t>Post-impressionnisme</t>
  </si>
  <si>
    <t>France</t>
  </si>
  <si>
    <t>#AF601A</t>
  </si>
  <si>
    <t>Après l’impressionnisme, chacun sa voie : la structure, l’émotion, le symbole ou la méthode.</t>
  </si>
  <si>
    <t>Bible : 1890-1910. Début avancé à 1886 : tes propres œuvres (Grande Jatte 1884-86, Mangeurs de pommes de terre 1885) précèdent 1890.</t>
  </si>
  <si>
    <t>fauvisme</t>
  </si>
  <si>
    <t>Fauvisme</t>
  </si>
  <si>
    <t>#C0392B</t>
  </si>
  <si>
    <t>La couleur pure et éclatante, libérée de toute fidélité au réel.</t>
  </si>
  <si>
    <t>cubisme</t>
  </si>
  <si>
    <t>Cubisme</t>
  </si>
  <si>
    <t>#6E4E37</t>
  </si>
  <si>
    <t>Décomposer l’objet en facettes pour le montrer sous tous ses angles à la fois.</t>
  </si>
  <si>
    <t>expressionnisme</t>
  </si>
  <si>
    <t>Expressionnisme</t>
  </si>
  <si>
    <t>Allemagne</t>
  </si>
  <si>
    <t>#6C3483</t>
  </si>
  <si>
    <t>Peindre ce que l’on ressent, et non ce que l’on voit.</t>
  </si>
  <si>
    <t>abstraction</t>
  </si>
  <si>
    <t>Abstractionnisme</t>
  </si>
  <si>
    <t>Europe</t>
  </si>
  <si>
    <t>#117A65</t>
  </si>
  <si>
    <t>La peinture renonce au réel : il ne reste que la couleur, la ligne et la forme.</t>
  </si>
  <si>
    <t>Bible : « Abstractionnisme (1910-?) ». Fin fixée à 1944 (mort de Kandinsky et Mondrian) : à ajuster.</t>
  </si>
  <si>
    <t>dadaisme</t>
  </si>
  <si>
    <t>Dadaïsme</t>
  </si>
  <si>
    <t>Zurich, Paris, Berlin, New York</t>
  </si>
  <si>
    <t>#566573</t>
  </si>
  <si>
    <t>Une révolte contre la guerre, la raison et l’art lui-même.</t>
  </si>
  <si>
    <t>surrealisme</t>
  </si>
  <si>
    <t>Surréalisme</t>
  </si>
  <si>
    <t>#B03A72</t>
  </si>
  <si>
    <t>Libérer l’inconscient, le rêve et le désir, hors de tout contrôle de la raison.</t>
  </si>
  <si>
    <t>On date souvent la fin du mouvement à la mort de Breton (1966) ; 1940 (exil des surréalistes) reste défendable.</t>
  </si>
  <si>
    <t>expressionnisme-abstrait</t>
  </si>
  <si>
    <t>Expressionnisme abstrait</t>
  </si>
  <si>
    <t>États-Unis (New York)</t>
  </si>
  <si>
    <t>#154360</t>
  </si>
  <si>
    <t>À New York, le geste et la couleur deviennent le sujet du tableau.</t>
  </si>
  <si>
    <t>Nom complet</t>
  </si>
  <si>
    <t>Naissance</t>
  </si>
  <si>
    <t>Décès</t>
  </si>
  <si>
    <t>Nationalité</t>
  </si>
  <si>
    <t>Rôle</t>
  </si>
  <si>
    <t>Mouvement principal</t>
  </si>
  <si>
    <t>Autres mouvements</t>
  </si>
  <si>
    <t>Phrase-clé (1 phrase)</t>
  </si>
  <si>
    <t>Domaine public ?</t>
  </si>
  <si>
    <t>monet</t>
  </si>
  <si>
    <t>Claude Monet</t>
  </si>
  <si>
    <t>française</t>
  </si>
  <si>
    <t>peintre</t>
  </si>
  <si>
    <t>Le chef de file de l’impressionnisme, obsédé par les variations de la lumière.</t>
  </si>
  <si>
    <t>renoir</t>
  </si>
  <si>
    <t>Pierre-Auguste Renoir</t>
  </si>
  <si>
    <t>Le peintre des figures et des moments heureux, baignés de lumière.</t>
  </si>
  <si>
    <t>degas</t>
  </si>
  <si>
    <t>Edgar Degas</t>
  </si>
  <si>
    <t>Le peintre du mouvement, des danseuses aux champs de courses.</t>
  </si>
  <si>
    <t>pissarro</t>
  </si>
  <si>
    <t>Camille Pissarro</t>
  </si>
  <si>
    <t>franco-danoise (né aux Antilles danoises)</t>
  </si>
  <si>
    <t>Le doyen et le mentor du groupe, seul présent aux huit expositions.</t>
  </si>
  <si>
    <t>morisot</t>
  </si>
  <si>
    <t>Berthe Morisot</t>
  </si>
  <si>
    <t>La première femme du groupe impressionniste, peintre de l’intimité.</t>
  </si>
  <si>
    <t>Ajoutée : citée dans tes œuvres majeures sans fiche.</t>
  </si>
  <si>
    <t>van-gogh</t>
  </si>
  <si>
    <t>Vincent van Gogh</t>
  </si>
  <si>
    <t>néerlandaise</t>
  </si>
  <si>
    <t>La couleur comme langage des émotions.</t>
  </si>
  <si>
    <t>cezanne</t>
  </si>
  <si>
    <t>Paul Cézanne</t>
  </si>
  <si>
    <t>Le « père de l’art moderne », qui construit la nature par volumes.</t>
  </si>
  <si>
    <t>gauguin</t>
  </si>
  <si>
    <t>Paul Gauguin</t>
  </si>
  <si>
    <t>Des aplats de couleur symboliques, et un ailleurs rêvé jusqu’en Polynésie.</t>
  </si>
  <si>
    <t>seurat</t>
  </si>
  <si>
    <t>Georges Seurat</t>
  </si>
  <si>
    <t>néo-impressionnisme</t>
  </si>
  <si>
    <t>L’inventeur du pointillisme, qui peint avec la science des couleurs.</t>
  </si>
  <si>
    <t>matisse</t>
  </si>
  <si>
    <t>Henri Matisse</t>
  </si>
  <si>
    <t>Le chef de file des fauves, qui a fait de la couleur une libération.</t>
  </si>
  <si>
    <t>derain</t>
  </si>
  <si>
    <t>André Derain</t>
  </si>
  <si>
    <t>Le fauve des contrastes violents, revenu ensuite à la tradition.</t>
  </si>
  <si>
    <t>vlaminck</t>
  </si>
  <si>
    <t>Maurice de Vlaminck</t>
  </si>
  <si>
    <t>Le plus fougueux des fauves, qui peignait avec la couleur sortie du tube.</t>
  </si>
  <si>
    <t>picasso</t>
  </si>
  <si>
    <t>Pablo Picasso</t>
  </si>
  <si>
    <t>espagnole</t>
  </si>
  <si>
    <t>surréalisme (proche)</t>
  </si>
  <si>
    <t>Le cofondateur du cubisme, qui n’a jamais cessé de se réinventer.</t>
  </si>
  <si>
    <t>braque</t>
  </si>
  <si>
    <t>Georges Braque</t>
  </si>
  <si>
    <t>L’autre inventeur du cubisme, peintre de l’équilibre et de la mesure.</t>
  </si>
  <si>
    <t>gris</t>
  </si>
  <si>
    <t>Juan Gris</t>
  </si>
  <si>
    <t>Le plus rigoureux des cubistes, architecte de toiles parfaitement équilibrées.</t>
  </si>
  <si>
    <t>kirchner</t>
  </si>
  <si>
    <t>Ernst Ludwig Kirchner</t>
  </si>
  <si>
    <t>allemande</t>
  </si>
  <si>
    <t>Le fondateur de Die Brücke, peintre de la fièvre de la ville moderne.</t>
  </si>
  <si>
    <t>Dates complétées (absentes de ta Bible).</t>
  </si>
  <si>
    <t>nolde</t>
  </si>
  <si>
    <t>Emil Nolde</t>
  </si>
  <si>
    <t>allemande (citoyen danois après 1920)</t>
  </si>
  <si>
    <t>Un maître de la couleur brute, à l’engagement nazi longtemps caché.</t>
  </si>
  <si>
    <t>Ta Bible dit « peintre danois » : il est considéré comme un peintre allemand, devenu citoyen danois quand sa région natale est rattachée au Danemark en 1920.</t>
  </si>
  <si>
    <t>marc</t>
  </si>
  <si>
    <t>Franz Marc</t>
  </si>
  <si>
    <t>Les animaux et la couleur symbolique, miroirs d’une harmonie perdue.</t>
  </si>
  <si>
    <t>kandinsky</t>
  </si>
  <si>
    <t>Vassily Kandinsky</t>
  </si>
  <si>
    <t>russe (puis allemande, puis française)</t>
  </si>
  <si>
    <t>peintre, théoricien</t>
  </si>
  <si>
    <t>Le grand théoricien de l’abstraction, qui voulait peindre la musique.</t>
  </si>
  <si>
    <t>malevitch</t>
  </si>
  <si>
    <t>Kasimir Malevitch</t>
  </si>
  <si>
    <t>russe (né à Kiev)</t>
  </si>
  <si>
    <t>L’inventeur du suprématisme et de son célèbre carré noir.</t>
  </si>
  <si>
    <t>mondrian</t>
  </si>
  <si>
    <t>Piet Mondrian</t>
  </si>
  <si>
    <t>L’abstraction réduite à des lignes droites et à quelques couleurs pures.</t>
  </si>
  <si>
    <t>kupka</t>
  </si>
  <si>
    <t>František Kupka</t>
  </si>
  <si>
    <t>tchèque</t>
  </si>
  <si>
    <t>Le premier à exposer des toiles abstraites à Paris, en 1912.</t>
  </si>
  <si>
    <t>tzara</t>
  </si>
  <si>
    <t>Tristan Tzara</t>
  </si>
  <si>
    <t>roumaine (puis française)</t>
  </si>
  <si>
    <t>poète, théoricien</t>
  </si>
  <si>
    <t>surréalisme</t>
  </si>
  <si>
    <t>La voix de Dada et l’auteur de ses manifestes.</t>
  </si>
  <si>
    <t>arp</t>
  </si>
  <si>
    <t>Hans Arp</t>
  </si>
  <si>
    <t>franco-allemande (alsacien)</t>
  </si>
  <si>
    <t>peintre, sculpteur, poète</t>
  </si>
  <si>
    <t>Le hasard érigé en méthode, entre Dada, surréalisme et abstraction.</t>
  </si>
  <si>
    <t>picabia</t>
  </si>
  <si>
    <t>Francis Picabia</t>
  </si>
  <si>
    <t>Le touche-à-tout insaisissable qui a poussé Dada à rire de tout.</t>
  </si>
  <si>
    <t>duchamp</t>
  </si>
  <si>
    <t>Marcel Duchamp</t>
  </si>
  <si>
    <t>française (puis américaine)</t>
  </si>
  <si>
    <t>artiste</t>
  </si>
  <si>
    <t>L’inventeur du ready-made, qui a fait du regard le cœur de l’œuvre.</t>
  </si>
  <si>
    <t>Ajouté : cité dans tes œuvres majeures sans fiche.</t>
  </si>
  <si>
    <t>breton</t>
  </si>
  <si>
    <t>André Breton</t>
  </si>
  <si>
    <t>Le fondateur et chef d’orchestre du surréalisme.</t>
  </si>
  <si>
    <t>dali</t>
  </si>
  <si>
    <t>Salvador Dalí</t>
  </si>
  <si>
    <t>Le surréaliste virtuose, qui peint ses rêves avec la précision d’un maître ancien.</t>
  </si>
  <si>
    <t>ernst</t>
  </si>
  <si>
    <t>Max Ernst</t>
  </si>
  <si>
    <t>allemande (puis américaine, puis française)</t>
  </si>
  <si>
    <t>L’inventeur du frottage et des créatures hybrides, entre Dada et surréalisme.</t>
  </si>
  <si>
    <t>magritte</t>
  </si>
  <si>
    <t>René Magritte</t>
  </si>
  <si>
    <t>belge</t>
  </si>
  <si>
    <t>Des images parfaitement nettes pour semer le doute sur ce que l’on voit.</t>
  </si>
  <si>
    <t>pollock</t>
  </si>
  <si>
    <t>Jackson Pollock</t>
  </si>
  <si>
    <t>américaine</t>
  </si>
  <si>
    <t>La toile posée au sol, et la peinture devenue la trace d’une danse.</t>
  </si>
  <si>
    <t>rothko</t>
  </si>
  <si>
    <t>Mark Rothko</t>
  </si>
  <si>
    <t>américaine (né en Russie)</t>
  </si>
  <si>
    <t>De grands rectangles de couleur pour une expérience presque spirituelle.</t>
  </si>
  <si>
    <t>newman</t>
  </si>
  <si>
    <t>Barnett Newman</t>
  </si>
  <si>
    <t>De vastes champs de couleur traversés par ses fameux « zips ».</t>
  </si>
  <si>
    <t>Fiche inachevée dans ta Bible (« WIP »).</t>
  </si>
  <si>
    <t>de-kooning</t>
  </si>
  <si>
    <t>Willem de Kooning</t>
  </si>
  <si>
    <t>américaine (né aux Pays-Bas)</t>
  </si>
  <si>
    <t>La figure humaine surgie du chaos de l’action painting.</t>
  </si>
  <si>
    <t>Titre</t>
  </si>
  <si>
    <t>Artiste (ID)</t>
  </si>
  <si>
    <t>Artiste</t>
  </si>
  <si>
    <t>Année</t>
  </si>
  <si>
    <t>Mouvement</t>
  </si>
  <si>
    <t>Date affichée</t>
  </si>
  <si>
    <t>Type</t>
  </si>
  <si>
    <t>Musée</t>
  </si>
  <si>
    <t>Ville</t>
  </si>
  <si>
    <t>Majeure (Bible)</t>
  </si>
  <si>
    <t>Lien image</t>
  </si>
  <si>
    <t>impression-soleil-levant</t>
  </si>
  <si>
    <t>Impression, soleil levant</t>
  </si>
  <si>
    <t>peinture</t>
  </si>
  <si>
    <t>Musée Marmottan Monet</t>
  </si>
  <si>
    <t>Paris</t>
  </si>
  <si>
    <t>oui</t>
  </si>
  <si>
    <t>à rédiger</t>
  </si>
  <si>
    <t>Antérieure à 1874 mais exposée en 1874 : à garder.</t>
  </si>
  <si>
    <t>la-gare-saint-lazare</t>
  </si>
  <si>
    <t>La Gare Saint-Lazare</t>
  </si>
  <si>
    <t>série, 1877</t>
  </si>
  <si>
    <t>Musée d'Orsay (une version)</t>
  </si>
  <si>
    <t>falaises-a-etretat</t>
  </si>
  <si>
    <t>Falaises à Étretat</t>
  </si>
  <si>
    <t>1883-1886</t>
  </si>
  <si>
    <t>cathedrales-de-rouen</t>
  </si>
  <si>
    <t>Cathédrales de Rouen</t>
  </si>
  <si>
    <t>série, 1892-1894</t>
  </si>
  <si>
    <t>Ta fiche Monet dit 1894 et ta liste 1892-1894 : la série est peinte en 1892-1893 et retouchée en 1894.</t>
  </si>
  <si>
    <t>les-nympheas</t>
  </si>
  <si>
    <t>Les Nymphéas</t>
  </si>
  <si>
    <t>vers 1897-1926</t>
  </si>
  <si>
    <t>Musée de l'Orangerie (grand cycle)</t>
  </si>
  <si>
    <t>le-bal-du-moulin-de-la-galette</t>
  </si>
  <si>
    <t>Le Bal du moulin de la Galette</t>
  </si>
  <si>
    <t>Musée d'Orsay</t>
  </si>
  <si>
    <t>le-dejeuner-des-canotiers</t>
  </si>
  <si>
    <t>Le Déjeuner des canotiers</t>
  </si>
  <si>
    <t>1880-1881</t>
  </si>
  <si>
    <t>Phillips Collection</t>
  </si>
  <si>
    <t>Washington</t>
  </si>
  <si>
    <t>la-danse-a-bougival</t>
  </si>
  <si>
    <t>La Danse à Bougival</t>
  </si>
  <si>
    <t>Museum of Fine Arts</t>
  </si>
  <si>
    <t>Boston</t>
  </si>
  <si>
    <t>la-classe-de-danse</t>
  </si>
  <si>
    <t>La Classe de danse</t>
  </si>
  <si>
    <t>vers 1873-1876</t>
  </si>
  <si>
    <t>Ta Bible : 1871-1874. Le musée d'Orsay date sa version de 1873-1876.</t>
  </si>
  <si>
    <t>l-absinthe</t>
  </si>
  <si>
    <t>L'Absinthe</t>
  </si>
  <si>
    <t>1875-1876</t>
  </si>
  <si>
    <t>danseuses-bleues</t>
  </si>
  <si>
    <t>Danseuses bleues</t>
  </si>
  <si>
    <t>Plusieurs versions existent : à préciser.</t>
  </si>
  <si>
    <t>les-bords-de-l-oise-a-pontoise</t>
  </si>
  <si>
    <t>Les Bords de l'Oise à Pontoise</t>
  </si>
  <si>
    <t>Antérieure à 1874 : à garder ou non.</t>
  </si>
  <si>
    <t>printemps-pruniers-en-fleurs</t>
  </si>
  <si>
    <t>Printemps. Pruniers en fleurs</t>
  </si>
  <si>
    <t>soleil-levant-a-eragny</t>
  </si>
  <si>
    <t>Soleil levant à Éragny</t>
  </si>
  <si>
    <t>le-berceau</t>
  </si>
  <si>
    <t>Le Berceau</t>
  </si>
  <si>
    <t>Exposée en 1874 à la première exposition impressionniste.</t>
  </si>
  <si>
    <t>les-mangeurs-de-pommes-de-terre</t>
  </si>
  <si>
    <t>Les Mangeurs de pommes de terre</t>
  </si>
  <si>
    <t>Van Gogh Museum</t>
  </si>
  <si>
    <t>Amsterdam</t>
  </si>
  <si>
    <t>tournesols</t>
  </si>
  <si>
    <t>Tournesols</t>
  </si>
  <si>
    <t>série, 1888-1889</t>
  </si>
  <si>
    <t>National Gallery (une version)</t>
  </si>
  <si>
    <t>Londres</t>
  </si>
  <si>
    <t>la-chambre-a-arles</t>
  </si>
  <si>
    <t>La Chambre à Arles</t>
  </si>
  <si>
    <t>Van Gogh Museum (1re version)</t>
  </si>
  <si>
    <t>Fusion de « La chambre à Arles » et « La chambre à coucher » : c'est la même œuvre (trois versions, 1888-1889).</t>
  </si>
  <si>
    <t>la-nuit-etoilee</t>
  </si>
  <si>
    <t>La Nuit étoilée</t>
  </si>
  <si>
    <t>MoMA</t>
  </si>
  <si>
    <t>New York</t>
  </si>
  <si>
    <t>les-joueurs-de-cartes</t>
  </si>
  <si>
    <t>Les Joueurs de cartes</t>
  </si>
  <si>
    <t>série, 1890-1895</t>
  </si>
  <si>
    <t>la-corbeille-de-pommes</t>
  </si>
  <si>
    <t>La Corbeille de pommes</t>
  </si>
  <si>
    <t>vers 1893</t>
  </si>
  <si>
    <t>Art Institute of Chicago</t>
  </si>
  <si>
    <t>Chicago</t>
  </si>
  <si>
    <t>la-montagne-sainte-victoire</t>
  </si>
  <si>
    <t>La Montagne Sainte-Victoire</t>
  </si>
  <si>
    <t>série, 1885-1906</t>
  </si>
  <si>
    <t>les-grandes-baigneuses</t>
  </si>
  <si>
    <t>Les Grandes Baigneuses</t>
  </si>
  <si>
    <t>1898-1905</t>
  </si>
  <si>
    <t>Philadelphia Museum of Art</t>
  </si>
  <si>
    <t>Philadelphie</t>
  </si>
  <si>
    <t>Ta fiche Cézanne dit 1898, ta liste d'œuvres majeures 1898-1905 : harmonisé.</t>
  </si>
  <si>
    <t>joyeusetes-arearea</t>
  </si>
  <si>
    <t>Joyeusetés (Arearea)</t>
  </si>
  <si>
    <t>jour-de-dieu-mahana-no-atua</t>
  </si>
  <si>
    <t>Jour de Dieu (Mahana no atua)</t>
  </si>
  <si>
    <t>d-ou-venons-nous-que-sommes-nous-ou</t>
  </si>
  <si>
    <t>D'où venons-nous ? Que sommes-nous ? Où allons-nous ?</t>
  </si>
  <si>
    <t>1897-1898</t>
  </si>
  <si>
    <t>Ta liste d'œuvres majeures écrit « Qui sommes-nous » : le titre exact est « Que sommes-nous ».</t>
  </si>
  <si>
    <t>une-baignade-a-asnieres</t>
  </si>
  <si>
    <t>Une baignade à Asnières</t>
  </si>
  <si>
    <t>National Gallery</t>
  </si>
  <si>
    <t>Erreur corrigée : ta Bible dit 1894, or Seurat meurt en 1891. L'œuvre date de 1884.</t>
  </si>
  <si>
    <t>un-dimanche-apres-midi-a-l-ile-de-la</t>
  </si>
  <si>
    <t>Un dimanche après-midi à l'île de la Grande Jatte</t>
  </si>
  <si>
    <t>1884-1886</t>
  </si>
  <si>
    <t>le-cirque</t>
  </si>
  <si>
    <t>Le Cirque</t>
  </si>
  <si>
    <t>1890-1891</t>
  </si>
  <si>
    <t>la-femme-au-chapeau</t>
  </si>
  <si>
    <t>La Femme au chapeau</t>
  </si>
  <si>
    <t>SFMOMA</t>
  </si>
  <si>
    <t>San Francisco</t>
  </si>
  <si>
    <t>la-danse-matisse</t>
  </si>
  <si>
    <t>La Danse</t>
  </si>
  <si>
    <t>Musée de l'Ermitage</t>
  </si>
  <si>
    <t>Saint-Pétersbourg</t>
  </si>
  <si>
    <t>l-atelier-rouge</t>
  </si>
  <si>
    <t>L'Atelier rouge</t>
  </si>
  <si>
    <t>les-odalisques</t>
  </si>
  <si>
    <t>Les Odalisques</t>
  </si>
  <si>
    <t>série, années 1920</t>
  </si>
  <si>
    <t>Postérieure au fauvisme : à garder ou non.</t>
  </si>
  <si>
    <t>jazz</t>
  </si>
  <si>
    <t>Jazz</t>
  </si>
  <si>
    <t>livre (papiers découpés)</t>
  </si>
  <si>
    <t>nus-bleus</t>
  </si>
  <si>
    <t>Nus bleus</t>
  </si>
  <si>
    <t>série de quatre, 1952</t>
  </si>
  <si>
    <t>gouache découpée</t>
  </si>
  <si>
    <t>Postérieure au fauvisme ; ce sont des gouaches découpées, pas des tableaux.</t>
  </si>
  <si>
    <t>bateaux-dans-le-port-de-collioure</t>
  </si>
  <si>
    <t>Bateaux dans le port de Collioure</t>
  </si>
  <si>
    <t>big-ben</t>
  </si>
  <si>
    <t>Big Ben</t>
  </si>
  <si>
    <t>la-danse-derain</t>
  </si>
  <si>
    <t>restaurant-de-la-machine-a-bougival</t>
  </si>
  <si>
    <t>Restaurant de la Machine à Bougival</t>
  </si>
  <si>
    <t>la-seine-a-chatou</t>
  </si>
  <si>
    <t>La Seine à Chatou</t>
  </si>
  <si>
    <t>bords-de-seine</t>
  </si>
  <si>
    <t>Bords de Seine</t>
  </si>
  <si>
    <t>Titre générique, plusieurs toiles portent ce nom : à préciser.</t>
  </si>
  <si>
    <t>les-demoiselles-d-avignon</t>
  </si>
  <si>
    <t>Les Demoiselles d'Avignon</t>
  </si>
  <si>
    <t>guernica</t>
  </si>
  <si>
    <t>Guernica</t>
  </si>
  <si>
    <t>Museo Reina Sofía</t>
  </si>
  <si>
    <t>Madrid</t>
  </si>
  <si>
    <t>Postérieure au cubisme : sur la frise, elle tombera hors de la bande du mouvement.</t>
  </si>
  <si>
    <t>la-femme-qui-pleure</t>
  </si>
  <si>
    <t>La Femme qui pleure</t>
  </si>
  <si>
    <t>Tate Modern</t>
  </si>
  <si>
    <t>Postérieure au cubisme.</t>
  </si>
  <si>
    <t>dora-maar-au-chat</t>
  </si>
  <si>
    <t>Dora Maar au chat</t>
  </si>
  <si>
    <t>Collection privée</t>
  </si>
  <si>
    <t>maisons-a-l-estaque</t>
  </si>
  <si>
    <t>Maisons à l'Estaque</t>
  </si>
  <si>
    <t>le-portugais</t>
  </si>
  <si>
    <t>Le Portugais</t>
  </si>
  <si>
    <t>Kunstmuseum</t>
  </si>
  <si>
    <t>Bâle</t>
  </si>
  <si>
    <t>l-homme-a-la-guitare</t>
  </si>
  <si>
    <t>L'Homme à la guitare</t>
  </si>
  <si>
    <t>1911-1912</t>
  </si>
  <si>
    <t>les-oiseaux</t>
  </si>
  <si>
    <t>Les Oiseaux</t>
  </si>
  <si>
    <t>peinture (plafond)</t>
  </si>
  <si>
    <t>Musée du Louvre</t>
  </si>
  <si>
    <t>portrait-de-pablo-picasso</t>
  </si>
  <si>
    <t>Portrait de Pablo Picasso</t>
  </si>
  <si>
    <t>l-homme-au-cafe</t>
  </si>
  <si>
    <t>L'Homme au café</t>
  </si>
  <si>
    <t>Ta Bible dit 1914 : l'œuvre est généralement datée de 1912. À vérifier.</t>
  </si>
  <si>
    <t>nature-morte-a-la-nappe-a-carreaux</t>
  </si>
  <si>
    <t>Nature morte à la nappe à carreaux</t>
  </si>
  <si>
    <t>scene-de-rue-a-berlin</t>
  </si>
  <si>
    <t>Scène de rue à Berlin</t>
  </si>
  <si>
    <t>Neue Galerie</t>
  </si>
  <si>
    <t>autoportrait-en-soldat</t>
  </si>
  <si>
    <t>Autoportrait en soldat</t>
  </si>
  <si>
    <t>Allen Memorial Art Museum</t>
  </si>
  <si>
    <t>Oberlin</t>
  </si>
  <si>
    <t>vallee-de-sertig-en-automne</t>
  </si>
  <si>
    <t>Vallée de Sertig en automne</t>
  </si>
  <si>
    <t>la-vie-du-christ</t>
  </si>
  <si>
    <t>La Vie du Christ</t>
  </si>
  <si>
    <t>peinture (polyptyque)</t>
  </si>
  <si>
    <t>mer-agitee-stormy-sea</t>
  </si>
  <si>
    <t>Mer agitée (Stormy Sea)</t>
  </si>
  <si>
    <t>Titre anglais dans ta Bible : Nolde a peint de nombreuses mers, titre et version à préciser.</t>
  </si>
  <si>
    <t>cheval-bleu-i</t>
  </si>
  <si>
    <t>Cheval bleu I</t>
  </si>
  <si>
    <t>Lenbachhaus</t>
  </si>
  <si>
    <t>Munich</t>
  </si>
  <si>
    <t>les-grands-chevaux-bleus</t>
  </si>
  <si>
    <t>Les Grands Chevaux bleus</t>
  </si>
  <si>
    <t>Walker Art Center</t>
  </si>
  <si>
    <t>Minneapolis</t>
  </si>
  <si>
    <t>Fusion de « Die grossen blauen Pferde » et « Les grands chevaux bleus » : c'est la même œuvre.</t>
  </si>
  <si>
    <t>destins-d-animaux</t>
  </si>
  <si>
    <t>Destins d'animaux</t>
  </si>
  <si>
    <t>sans-titre-premiere-aquarelle</t>
  </si>
  <si>
    <t>Sans titre (première aquarelle abstraite)</t>
  </si>
  <si>
    <t>daté 1910</t>
  </si>
  <si>
    <t>aquarelle</t>
  </si>
  <si>
    <t>Centre Pompidou</t>
  </si>
  <si>
    <t>Kandinsky l'a datée de 1910, mais beaucoup d'historiens pensent qu'elle date plutôt de 1913.</t>
  </si>
  <si>
    <t>fugue</t>
  </si>
  <si>
    <t>Fugue</t>
  </si>
  <si>
    <t>composition-viii</t>
  </si>
  <si>
    <t>Composition VIII</t>
  </si>
  <si>
    <t>Guggenheim</t>
  </si>
  <si>
    <t>jaune-rouge-bleu</t>
  </si>
  <si>
    <t>Jaune-rouge-bleu</t>
  </si>
  <si>
    <t>carre-noir-sur-fond-blanc</t>
  </si>
  <si>
    <t>Carré noir sur fond blanc</t>
  </si>
  <si>
    <t>Galerie Tretiakov</t>
  </si>
  <si>
    <t>Moscou</t>
  </si>
  <si>
    <t>croix-noire</t>
  </si>
  <si>
    <t>Croix noire</t>
  </si>
  <si>
    <t>composition-suprematiste</t>
  </si>
  <si>
    <t>Composition suprématiste</t>
  </si>
  <si>
    <t>Titre générique (plusieurs œuvres) : à préciser.</t>
  </si>
  <si>
    <t>carre-blanc-sur-fond-blanc</t>
  </si>
  <si>
    <t>Carré blanc sur fond blanc</t>
  </si>
  <si>
    <t>l-arbre-rouge</t>
  </si>
  <si>
    <t>L'Arbre rouge</t>
  </si>
  <si>
    <t>1908-1910</t>
  </si>
  <si>
    <t>Kunstmuseum Den Haag</t>
  </si>
  <si>
    <t>La Haye</t>
  </si>
  <si>
    <t>composition-en-rouge-bleu-et-jaune</t>
  </si>
  <si>
    <t>Composition en rouge, bleu et jaune</t>
  </si>
  <si>
    <t>Kunsthaus</t>
  </si>
  <si>
    <t>Zurich</t>
  </si>
  <si>
    <t>new-york-city</t>
  </si>
  <si>
    <t>New York City</t>
  </si>
  <si>
    <t>l-eau-la-baigneuse</t>
  </si>
  <si>
    <t>L'Eau (La Baigneuse)</t>
  </si>
  <si>
    <t>1906-1909</t>
  </si>
  <si>
    <t>amorpha-fugue-a-deux-couleurs</t>
  </si>
  <si>
    <t>Amorpha, fugue à deux couleurs</t>
  </si>
  <si>
    <t>Galerie nationale</t>
  </si>
  <si>
    <t>Prague</t>
  </si>
  <si>
    <t>disques-de-newton</t>
  </si>
  <si>
    <t>Disques de Newton</t>
  </si>
  <si>
    <t>la-premiere-aventure-celeste-de-m</t>
  </si>
  <si>
    <t>La Première Aventure céleste de M. Antipyrine</t>
  </si>
  <si>
    <t>texte</t>
  </si>
  <si>
    <t>manifeste-dada-1918</t>
  </si>
  <si>
    <t>Manifeste Dada 1918</t>
  </si>
  <si>
    <t>vingt-cinq-poemes</t>
  </si>
  <si>
    <t>Vingt-cinq poèmes</t>
  </si>
  <si>
    <t>collages-selon-les-lois-du-hasard</t>
  </si>
  <si>
    <t>Collages selon les lois du hasard</t>
  </si>
  <si>
    <t>1916-1917</t>
  </si>
  <si>
    <t>collage</t>
  </si>
  <si>
    <t>concretion-humaine</t>
  </si>
  <si>
    <t>Concrétion humaine</t>
  </si>
  <si>
    <t>sculpture</t>
  </si>
  <si>
    <t>Postérieure à Dada.</t>
  </si>
  <si>
    <t>ptolemee-i</t>
  </si>
  <si>
    <t>Ptolémée I</t>
  </si>
  <si>
    <t>danses-a-la-source</t>
  </si>
  <si>
    <t>Danses à la source</t>
  </si>
  <si>
    <t>Antérieure à Dada.</t>
  </si>
  <si>
    <t>parade-amoureuse</t>
  </si>
  <si>
    <t>Parade amoureuse</t>
  </si>
  <si>
    <t>machine-tournez-vite</t>
  </si>
  <si>
    <t>Machine tournez vite</t>
  </si>
  <si>
    <t>l-il-cacodylate</t>
  </si>
  <si>
    <t>L'Œil cacodylate</t>
  </si>
  <si>
    <t>fontaine</t>
  </si>
  <si>
    <t>Fontaine</t>
  </si>
  <si>
    <t>ready-made</t>
  </si>
  <si>
    <t>L'original est perdu ; des répliques autorisées existent (Centre Pompidou, Tate…).</t>
  </si>
  <si>
    <t>l-h-o-o-q</t>
  </si>
  <si>
    <t>L.H.O.O.Q.</t>
  </si>
  <si>
    <t>ready-made rectifié</t>
  </si>
  <si>
    <t>les-champs-magnetiques</t>
  </si>
  <si>
    <t>Les Champs magnétiques</t>
  </si>
  <si>
    <t>écrit en 1919, publié en 1920</t>
  </si>
  <si>
    <t>Coécrit avec Philippe Soupault.</t>
  </si>
  <si>
    <t>manifeste-du-surrealisme</t>
  </si>
  <si>
    <t>Manifeste du surréalisme</t>
  </si>
  <si>
    <t>nadja</t>
  </si>
  <si>
    <t>Nadja</t>
  </si>
  <si>
    <t>texte (récit)</t>
  </si>
  <si>
    <t>le-grand-masturbateur</t>
  </si>
  <si>
    <t>Le Grand Masturbateur</t>
  </si>
  <si>
    <t>la-persistance-de-la-memoire</t>
  </si>
  <si>
    <t>La Persistance de la mémoire</t>
  </si>
  <si>
    <t>metamorphose-de-narcisse</t>
  </si>
  <si>
    <t>Métamorphose de Narcisse</t>
  </si>
  <si>
    <t>galatee-aux-spheres</t>
  </si>
  <si>
    <t>Galatée aux sphères</t>
  </si>
  <si>
    <t>Théâtre-musée Dalí</t>
  </si>
  <si>
    <t>Figueres</t>
  </si>
  <si>
    <t>Ta Bible dit « Galatée des sphères » : le titre est « Galatée aux sphères ».</t>
  </si>
  <si>
    <t>la-vierge-corrigeant-l-enfant-jesus</t>
  </si>
  <si>
    <t>La Vierge corrigeant l'Enfant Jésus devant trois témoins</t>
  </si>
  <si>
    <t>Museum Ludwig</t>
  </si>
  <si>
    <t>Cologne</t>
  </si>
  <si>
    <t>l-ange-du-foyer-ou-le-triomphe-du</t>
  </si>
  <si>
    <t>L'Ange du foyer (ou Le Triomphe du surréalisme)</t>
  </si>
  <si>
    <t>la-trahison-des-images</t>
  </si>
  <si>
    <t>La Trahison des images</t>
  </si>
  <si>
    <t>LACMA</t>
  </si>
  <si>
    <t>Los Angeles</t>
  </si>
  <si>
    <t>mural</t>
  </si>
  <si>
    <t>Mural</t>
  </si>
  <si>
    <t>Stanley Museum of Art</t>
  </si>
  <si>
    <t>Iowa City</t>
  </si>
  <si>
    <t>one-number-31-1950</t>
  </si>
  <si>
    <t>One: Number 31, 1950</t>
  </si>
  <si>
    <t>convergence</t>
  </si>
  <si>
    <t>Convergence</t>
  </si>
  <si>
    <t>Buffalo AKG Art Museum</t>
  </si>
  <si>
    <t>Buffalo</t>
  </si>
  <si>
    <t>entree-de-metro</t>
  </si>
  <si>
    <t>Entrée de métro</t>
  </si>
  <si>
    <t>Période figurative, antérieure au mouvement.</t>
  </si>
  <si>
    <t>orange-and-yellow</t>
  </si>
  <si>
    <t>Orange and Yellow</t>
  </si>
  <si>
    <t>no-14</t>
  </si>
  <si>
    <t>No. 14</t>
  </si>
  <si>
    <t>Incohérence corrigée : ta fiche Rothko dit 1960, ta liste d'œuvres majeures 1952. L'œuvre du SFMOMA date de 1960.</t>
  </si>
  <si>
    <t>vir-heroicus-sublimis</t>
  </si>
  <si>
    <t>Vir Heroicus Sublimis</t>
  </si>
  <si>
    <t>1950-1951</t>
  </si>
  <si>
    <t>woman-i</t>
  </si>
  <si>
    <t>Woman I</t>
  </si>
  <si>
    <t>1950-1952</t>
  </si>
  <si>
    <t>Date précise</t>
  </si>
  <si>
    <t>Description (1-2 phrases)</t>
  </si>
  <si>
    <t>salon-des-refuses</t>
  </si>
  <si>
    <t>mai 1863</t>
  </si>
  <si>
    <t>Salon des refusés</t>
  </si>
  <si>
    <t>Hors périmètre : prologue, à garder ou supprimer.</t>
  </si>
  <si>
    <t>premiere-expo-impressionniste</t>
  </si>
  <si>
    <t>15 avril 1874</t>
  </si>
  <si>
    <t>Première exposition impressionniste</t>
  </si>
  <si>
    <t>durand-ruel-new-york</t>
  </si>
  <si>
    <t>avril 1886</t>
  </si>
  <si>
    <t>Durand-Ruel expose les impressionnistes à New York</t>
  </si>
  <si>
    <t>derniere-expo-impressionniste</t>
  </si>
  <si>
    <t>mai 1886</t>
  </si>
  <si>
    <t>Huitième et dernière exposition impressionniste</t>
  </si>
  <si>
    <t>cage-aux-fauves</t>
  </si>
  <si>
    <t>octobre 1905</t>
  </si>
  <si>
    <t>Salon d'automne : la « cage aux fauves »</t>
  </si>
  <si>
    <t>fondation-die-brucke</t>
  </si>
  <si>
    <t>juin 1905</t>
  </si>
  <si>
    <t>Fondation de Die Brücke</t>
  </si>
  <si>
    <t>Dresde</t>
  </si>
  <si>
    <t>retrospective-cezanne</t>
  </si>
  <si>
    <t>octobre 1907</t>
  </si>
  <si>
    <t>Rétrospective Cézanne au Salon d'automne</t>
  </si>
  <si>
    <t>expo-blaue-reiter</t>
  </si>
  <si>
    <t>décembre 1911</t>
  </si>
  <si>
    <t>Première exposition du Blaue Reiter</t>
  </si>
  <si>
    <t>armory-show</t>
  </si>
  <si>
    <t>février 1913</t>
  </si>
  <si>
    <t>Armory Show</t>
  </si>
  <si>
    <t>expo-0-10</t>
  </si>
  <si>
    <t>décembre 1915</t>
  </si>
  <si>
    <t>Exposition « 0,10 » : Malevitch montre le Carré noir</t>
  </si>
  <si>
    <t>Petrograd</t>
  </si>
  <si>
    <t>cabaret-voltaire</t>
  </si>
  <si>
    <t>février 1916</t>
  </si>
  <si>
    <t>Ouverture du Cabaret Voltaire</t>
  </si>
  <si>
    <t>manifeste-surrealisme</t>
  </si>
  <si>
    <t>octobre 1924</t>
  </si>
  <si>
    <t>Publication du Manifeste du surréalisme</t>
  </si>
  <si>
    <t>art-degenere</t>
  </si>
  <si>
    <t>juillet 1937</t>
  </si>
  <si>
    <t>Exposition nazie « Art dégénéré »</t>
  </si>
  <si>
    <t>art-of-this-century</t>
  </si>
  <si>
    <t>octobre 1942</t>
  </si>
  <si>
    <t>Peggy Guggenheim ouvre la galerie Art of This Century</t>
  </si>
  <si>
    <t>De (ID)</t>
  </si>
  <si>
    <t>De</t>
  </si>
  <si>
    <t>Vers (ID)</t>
  </si>
  <si>
    <t>Vers</t>
  </si>
  <si>
    <t>Explication (1-2 phrases)</t>
  </si>
  <si>
    <t>cezanne-picasso</t>
  </si>
  <si>
    <t>influence</t>
  </si>
  <si>
    <t>cezanne-braque</t>
  </si>
  <si>
    <t>van-gogh-vlaminck</t>
  </si>
  <si>
    <t>van-gogh-kirchner</t>
  </si>
  <si>
    <t>gauguin-matisse</t>
  </si>
  <si>
    <t>matisse-derain</t>
  </si>
  <si>
    <t>collaboration</t>
  </si>
  <si>
    <t>picasso-braque</t>
  </si>
  <si>
    <t>monet-kandinsky</t>
  </si>
  <si>
    <t>kandinsky-marc</t>
  </si>
  <si>
    <t>picabia-duchamp</t>
  </si>
  <si>
    <t>tzara-breton</t>
  </si>
  <si>
    <t>rivalité</t>
  </si>
  <si>
    <t>matisse-rothko</t>
  </si>
  <si>
    <t>images/impression-soleil-levant.jpg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</si>
</sst>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1"/>
    </font>
    <font>
      <b/>
      <sz val="16"/>
      <color rgb="FF2F3E46"/>
      <name val="Arial"/>
      <charset val="1"/>
    </font>
    <font>
      <i/>
      <sz val="10"/>
      <color rgb="FF555555"/>
      <name val="Arial"/>
      <charset val="1"/>
    </font>
    <font>
      <b/>
      <sz val="12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sz val="10"/>
      <color rgb="FFFFFFFF"/>
      <name val="Arial"/>
      <charset val="1"/>
    </font>
    <font>
      <sz val="1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2F3E46"/>
        <bgColor rgb="FF154360"/>
      </patternFill>
    </fill>
    <fill>
      <patternFill patternType="solid">
        <fgColor rgb="FF8A6D1E"/>
        <bgColor rgb="FFAF601A"/>
      </patternFill>
    </fill>
    <fill>
      <patternFill patternType="solid">
        <fgColor rgb="FF6B7B83"/>
        <bgColor rgb="FF566573"/>
      </patternFill>
    </fill>
    <fill>
      <patternFill patternType="solid">
        <fgColor rgb="FFFFF4CC"/>
        <bgColor rgb="FFEDEDED"/>
      </patternFill>
    </fill>
    <fill>
      <patternFill patternType="solid">
        <fgColor rgb="FF2874A6"/>
        <bgColor rgb="FF117A65"/>
      </patternFill>
    </fill>
    <fill>
      <patternFill patternType="solid">
        <fgColor rgb="FFEDEDED"/>
        <bgColor rgb="FFFFF4CC"/>
      </patternFill>
    </fill>
    <fill>
      <patternFill patternType="solid">
        <fgColor rgb="FFAF601A"/>
        <bgColor rgb="FF8A6D1E"/>
      </patternFill>
    </fill>
    <fill>
      <patternFill patternType="solid">
        <fgColor rgb="FFC0392B"/>
        <bgColor rgb="FFB03A72"/>
      </patternFill>
    </fill>
    <fill>
      <patternFill patternType="solid">
        <fgColor rgb="FF6E4E37"/>
        <bgColor rgb="FF555555"/>
      </patternFill>
    </fill>
    <fill>
      <patternFill patternType="solid">
        <fgColor rgb="FF6C3483"/>
        <bgColor rgb="FF6E4E37"/>
      </patternFill>
    </fill>
    <fill>
      <patternFill patternType="solid">
        <fgColor rgb="FF117A65"/>
        <bgColor rgb="FF2874A6"/>
      </patternFill>
    </fill>
    <fill>
      <patternFill patternType="solid">
        <fgColor rgb="FF566573"/>
        <bgColor rgb="FF555555"/>
      </patternFill>
    </fill>
    <fill>
      <patternFill patternType="solid">
        <fgColor rgb="FFB03A72"/>
        <bgColor rgb="FFC0392B"/>
      </patternFill>
    </fill>
    <fill>
      <patternFill patternType="solid">
        <fgColor rgb="FF154360"/>
        <bgColor rgb="FF2F3E46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5" fillId="0" borderId="0" xfId="0" applyFont="1" applyAlignment="1">
      <alignment vertical="top" wrapText="1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/>
    <xf numFmtId="0" fontId="5" fillId="0" borderId="1" xfId="0" applyFont="1" applyBorder="1"/>
    <xf numFmtId="9" fontId="5" fillId="0" borderId="1" xfId="0" applyNumberFormat="1" applyFont="1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6" fillId="0" borderId="0" xfId="0" applyFont="1" applyAlignment="1">
      <alignment vertical="top" wrapText="1"/>
    </xf>
    <xf numFmtId="0" fontId="4" fillId="2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vertical="center" wrapText="1"/>
    </xf>
    <xf numFmtId="0" fontId="5" fillId="0" borderId="1" xfId="0" applyFont="1" applyBorder="1" applyAlignment="1">
      <alignment vertical="top" wrapText="1"/>
    </xf>
    <xf numFmtId="0" fontId="7" fillId="6" borderId="1" xfId="0" applyFont="1" applyFill="1" applyBorder="1" applyAlignment="1">
      <alignment vertical="top" wrapText="1"/>
    </xf>
    <xf numFmtId="0" fontId="2" fillId="7" borderId="1" xfId="0" applyFont="1" applyFill="1" applyBorder="1" applyAlignment="1">
      <alignment vertical="top" wrapText="1"/>
    </xf>
    <xf numFmtId="0" fontId="5" fillId="5" borderId="1" xfId="0" applyFont="1" applyFill="1" applyBorder="1" applyAlignment="1">
      <alignment vertical="top" wrapText="1"/>
    </xf>
    <xf numFmtId="0" fontId="7" fillId="8" borderId="1" xfId="0" applyFont="1" applyFill="1" applyBorder="1" applyAlignment="1">
      <alignment vertical="top" wrapText="1"/>
    </xf>
    <xf numFmtId="0" fontId="7" fillId="9" borderId="1" xfId="0" applyFont="1" applyFill="1" applyBorder="1" applyAlignment="1">
      <alignment vertical="top" wrapText="1"/>
    </xf>
    <xf numFmtId="0" fontId="7" fillId="10" borderId="1" xfId="0" applyFont="1" applyFill="1" applyBorder="1" applyAlignment="1">
      <alignment vertical="top" wrapText="1"/>
    </xf>
    <xf numFmtId="0" fontId="7" fillId="11" borderId="1" xfId="0" applyFont="1" applyFill="1" applyBorder="1" applyAlignment="1">
      <alignment vertical="top" wrapText="1"/>
    </xf>
    <xf numFmtId="0" fontId="7" fillId="12" borderId="1" xfId="0" applyFont="1" applyFill="1" applyBorder="1" applyAlignment="1">
      <alignment vertical="top" wrapText="1"/>
    </xf>
    <xf numFmtId="0" fontId="7" fillId="13" borderId="1" xfId="0" applyFont="1" applyFill="1" applyBorder="1" applyAlignment="1">
      <alignment vertical="top" wrapText="1"/>
    </xf>
    <xf numFmtId="0" fontId="7" fillId="14" borderId="1" xfId="0" applyFont="1" applyFill="1" applyBorder="1" applyAlignment="1">
      <alignment vertical="top" wrapText="1"/>
    </xf>
    <xf numFmtId="0" fontId="7" fillId="15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A6D1E"/>
      <rgbColor rgb="FF800080"/>
      <rgbColor rgb="FF117A65"/>
      <rgbColor rgb="FFC0C0C0"/>
      <rgbColor rgb="FF6B7B83"/>
      <rgbColor rgb="FF9999FF"/>
      <rgbColor rgb="FFB03A72"/>
      <rgbColor rgb="FFFFF4CC"/>
      <rgbColor rgb="FFEDEDED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2874A6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AF601A"/>
      <rgbColor rgb="FF566573"/>
      <rgbColor rgb="FF969696"/>
      <rgbColor rgb="FF154360"/>
      <rgbColor rgb="FF339966"/>
      <rgbColor rgb="FF003300"/>
      <rgbColor rgb="FF6E4E37"/>
      <rgbColor rgb="FFC0392B"/>
      <rgbColor rgb="FF6C3483"/>
      <rgbColor rgb="FF555555"/>
      <rgbColor rgb="FF2F3E4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"/>
  <sheetViews>
    <sheetView zoomScaleNormal="100" workbookViewId="0"/>
  </sheetViews>
  <sheetFormatPr defaultColWidth="8.7109375" defaultRowHeight="15" x14ac:dyDescent="0.25"/>
  <cols>
    <col min="1" max="1" width="30" customWidth="1"/>
    <col min="2" max="3" width="12" customWidth="1"/>
    <col min="4" max="5" width="14" customWidth="1"/>
    <col min="6" max="6" width="50" customWidth="1"/>
  </cols>
  <sheetData>
    <row r="1" spans="1:6" ht="20.25" x14ac:dyDescent="0.3">
      <c r="A1" s="2" t="s">
        <v>0</v>
      </c>
    </row>
    <row r="2" spans="1:6" x14ac:dyDescent="0.25">
      <c r="A2" s="3" t="s">
        <v>1</v>
      </c>
    </row>
    <row r="4" spans="1:6" ht="15.75" x14ac:dyDescent="0.25">
      <c r="A4" s="4" t="s">
        <v>2</v>
      </c>
    </row>
    <row r="5" spans="1:6" x14ac:dyDescent="0.25">
      <c r="A5" s="5" t="s">
        <v>3</v>
      </c>
      <c r="B5" s="5" t="s">
        <v>4</v>
      </c>
      <c r="C5" s="5" t="s">
        <v>5</v>
      </c>
      <c r="D5" s="5" t="s">
        <v>6</v>
      </c>
    </row>
    <row r="6" spans="1:6" x14ac:dyDescent="0.25">
      <c r="A6" s="6" t="s">
        <v>7</v>
      </c>
      <c r="B6" s="6">
        <f>COUNTA(Mouvements!A2:A301)</f>
        <v>9</v>
      </c>
      <c r="C6" s="6">
        <f>COUNTIF(Mouvements!I2:I301,"rédigée")</f>
        <v>9</v>
      </c>
      <c r="D6" s="7">
        <f>IF(B6=0,0,C6/B6)</f>
        <v>1</v>
      </c>
    </row>
    <row r="7" spans="1:6" x14ac:dyDescent="0.25">
      <c r="A7" s="6" t="s">
        <v>8</v>
      </c>
      <c r="B7" s="6">
        <f>COUNTA(Artistes!A2:A301)</f>
        <v>34</v>
      </c>
      <c r="C7" s="6">
        <f>COUNTIF(Artistes!K2:K301,"rédigée")</f>
        <v>34</v>
      </c>
      <c r="D7" s="7">
        <f>IF(B7=0,0,C7/B7)</f>
        <v>1</v>
      </c>
    </row>
    <row r="8" spans="1:6" x14ac:dyDescent="0.25">
      <c r="A8" s="6" t="s">
        <v>9</v>
      </c>
      <c r="B8" s="6">
        <f>COUNTA(Œuvres!A2:A301)</f>
        <v>104</v>
      </c>
      <c r="C8" s="6">
        <f>COUNTIF(Œuvres!O2:O301,"rédigée")</f>
        <v>0</v>
      </c>
      <c r="D8" s="7">
        <f>IF(B8=0,0,C8/B8)</f>
        <v>0</v>
      </c>
    </row>
    <row r="9" spans="1:6" x14ac:dyDescent="0.25">
      <c r="A9" s="6" t="s">
        <v>10</v>
      </c>
      <c r="B9" s="6">
        <f>COUNTA(Événements!A2:A301)</f>
        <v>14</v>
      </c>
      <c r="C9" s="6"/>
      <c r="D9" s="6"/>
    </row>
    <row r="10" spans="1:6" x14ac:dyDescent="0.25">
      <c r="A10" s="6" t="s">
        <v>11</v>
      </c>
      <c r="B10" s="6">
        <f>COUNTA(Influences!A2:A301)</f>
        <v>12</v>
      </c>
      <c r="C10" s="6"/>
      <c r="D10" s="6"/>
    </row>
    <row r="13" spans="1:6" ht="15.75" x14ac:dyDescent="0.25">
      <c r="A13" s="4" t="s">
        <v>12</v>
      </c>
    </row>
    <row r="14" spans="1:6" ht="15" customHeight="1" x14ac:dyDescent="0.25">
      <c r="A14" s="8"/>
      <c r="B14" s="1" t="s">
        <v>13</v>
      </c>
      <c r="C14" s="1"/>
      <c r="D14" s="1"/>
      <c r="E14" s="1"/>
      <c r="F14" s="1"/>
    </row>
    <row r="15" spans="1:6" ht="15" customHeight="1" x14ac:dyDescent="0.25">
      <c r="A15" s="9"/>
      <c r="B15" s="1" t="s">
        <v>14</v>
      </c>
      <c r="C15" s="1"/>
      <c r="D15" s="1"/>
      <c r="E15" s="1"/>
      <c r="F15" s="1"/>
    </row>
    <row r="16" spans="1:6" ht="15" customHeight="1" x14ac:dyDescent="0.25">
      <c r="A16" s="10"/>
      <c r="B16" s="1" t="s">
        <v>15</v>
      </c>
      <c r="C16" s="1"/>
      <c r="D16" s="1"/>
      <c r="E16" s="1"/>
      <c r="F16" s="1"/>
    </row>
    <row r="17" spans="1:6" ht="15" customHeight="1" x14ac:dyDescent="0.25">
      <c r="A17" s="11"/>
      <c r="B17" s="1" t="s">
        <v>16</v>
      </c>
      <c r="C17" s="1"/>
      <c r="D17" s="1"/>
      <c r="E17" s="1"/>
      <c r="F17" s="1"/>
    </row>
    <row r="19" spans="1:6" ht="15.75" x14ac:dyDescent="0.25">
      <c r="A19" s="4" t="s">
        <v>17</v>
      </c>
    </row>
    <row r="20" spans="1:6" ht="39.75" customHeight="1" x14ac:dyDescent="0.25">
      <c r="A20" s="12" t="s">
        <v>18</v>
      </c>
      <c r="B20" s="1" t="s">
        <v>19</v>
      </c>
      <c r="C20" s="1"/>
      <c r="D20" s="1"/>
      <c r="E20" s="1"/>
      <c r="F20" s="1"/>
    </row>
    <row r="21" spans="1:6" ht="39.75" customHeight="1" x14ac:dyDescent="0.25">
      <c r="A21" s="12" t="s">
        <v>20</v>
      </c>
      <c r="B21" s="1" t="s">
        <v>21</v>
      </c>
      <c r="C21" s="1"/>
      <c r="D21" s="1"/>
      <c r="E21" s="1"/>
      <c r="F21" s="1"/>
    </row>
    <row r="22" spans="1:6" ht="39.75" customHeight="1" x14ac:dyDescent="0.25">
      <c r="A22" s="12" t="s">
        <v>22</v>
      </c>
      <c r="B22" s="1" t="s">
        <v>23</v>
      </c>
      <c r="C22" s="1"/>
      <c r="D22" s="1"/>
      <c r="E22" s="1"/>
      <c r="F22" s="1"/>
    </row>
    <row r="23" spans="1:6" ht="39.75" customHeight="1" x14ac:dyDescent="0.25">
      <c r="A23" s="12" t="s">
        <v>24</v>
      </c>
      <c r="B23" s="1" t="s">
        <v>25</v>
      </c>
      <c r="C23" s="1"/>
      <c r="D23" s="1"/>
      <c r="E23" s="1"/>
      <c r="F23" s="1"/>
    </row>
    <row r="24" spans="1:6" ht="39.75" customHeight="1" x14ac:dyDescent="0.25">
      <c r="A24" s="12" t="s">
        <v>26</v>
      </c>
      <c r="B24" s="1" t="s">
        <v>27</v>
      </c>
      <c r="C24" s="1"/>
      <c r="D24" s="1"/>
      <c r="E24" s="1"/>
      <c r="F24" s="1"/>
    </row>
    <row r="25" spans="1:6" ht="39.75" customHeight="1" x14ac:dyDescent="0.25">
      <c r="A25" s="12" t="s">
        <v>28</v>
      </c>
      <c r="B25" s="1" t="s">
        <v>29</v>
      </c>
      <c r="C25" s="1"/>
      <c r="D25" s="1"/>
      <c r="E25" s="1"/>
      <c r="F25" s="1"/>
    </row>
  </sheetData>
  <mergeCells count="10">
    <mergeCell ref="B21:F21"/>
    <mergeCell ref="B22:F22"/>
    <mergeCell ref="B23:F23"/>
    <mergeCell ref="B24:F24"/>
    <mergeCell ref="B25:F25"/>
    <mergeCell ref="B14:F14"/>
    <mergeCell ref="B15:F15"/>
    <mergeCell ref="B16:F16"/>
    <mergeCell ref="B17:F17"/>
    <mergeCell ref="B20:F20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301"/>
  <sheetViews>
    <sheetView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ColWidth="8.7109375" defaultRowHeight="15" x14ac:dyDescent="0.25"/>
  <cols>
    <col min="1" max="1" width="22" customWidth="1"/>
    <col min="2" max="2" width="24" customWidth="1"/>
    <col min="3" max="4" width="8" customWidth="1"/>
    <col min="5" max="5" width="20" customWidth="1"/>
    <col min="6" max="6" width="10" customWidth="1"/>
    <col min="7" max="7" width="50" customWidth="1"/>
    <col min="8" max="8" width="24" customWidth="1"/>
    <col min="9" max="9" width="12" customWidth="1"/>
    <col min="10" max="11" width="10" customWidth="1"/>
    <col min="12" max="12" width="60" customWidth="1"/>
  </cols>
  <sheetData>
    <row r="1" spans="1:12" ht="33.75" customHeight="1" x14ac:dyDescent="0.25">
      <c r="A1" s="13" t="s">
        <v>30</v>
      </c>
      <c r="B1" s="13" t="s">
        <v>31</v>
      </c>
      <c r="C1" s="13" t="s">
        <v>32</v>
      </c>
      <c r="D1" s="13" t="s">
        <v>33</v>
      </c>
      <c r="E1" s="13" t="s">
        <v>34</v>
      </c>
      <c r="F1" s="13" t="s">
        <v>35</v>
      </c>
      <c r="G1" s="14" t="s">
        <v>36</v>
      </c>
      <c r="H1" s="15" t="s">
        <v>37</v>
      </c>
      <c r="I1" s="13" t="s">
        <v>22</v>
      </c>
      <c r="J1" s="15" t="s">
        <v>38</v>
      </c>
      <c r="K1" s="15" t="s">
        <v>39</v>
      </c>
      <c r="L1" s="13" t="s">
        <v>40</v>
      </c>
    </row>
    <row r="2" spans="1:12" ht="25.5" x14ac:dyDescent="0.25">
      <c r="A2" s="16" t="s">
        <v>41</v>
      </c>
      <c r="B2" s="16" t="s">
        <v>42</v>
      </c>
      <c r="C2" s="16">
        <v>1874</v>
      </c>
      <c r="D2" s="16">
        <v>1886</v>
      </c>
      <c r="E2" s="16" t="s">
        <v>43</v>
      </c>
      <c r="F2" s="17" t="s">
        <v>44</v>
      </c>
      <c r="G2" s="16" t="s">
        <v>45</v>
      </c>
      <c r="H2" s="18" t="str">
        <f t="shared" ref="H2:H65" si="0">IF(A2="","","mouvements/"&amp;A2&amp;".md")</f>
        <v>mouvements/impressionnisme.md</v>
      </c>
      <c r="I2" s="16" t="s">
        <v>46</v>
      </c>
      <c r="J2" s="18">
        <f>IF(A2="","",COUNTIF(Artistes!$G$2:$G$301,A2))</f>
        <v>5</v>
      </c>
      <c r="K2" s="18">
        <f>IF(A2="","",COUNTIF(Œuvres!$F$2:$F$301,A2))</f>
        <v>15</v>
      </c>
      <c r="L2" s="19" t="s">
        <v>47</v>
      </c>
    </row>
    <row r="3" spans="1:12" ht="38.25" x14ac:dyDescent="0.25">
      <c r="A3" s="16" t="s">
        <v>48</v>
      </c>
      <c r="B3" s="16" t="s">
        <v>49</v>
      </c>
      <c r="C3" s="16">
        <v>1886</v>
      </c>
      <c r="D3" s="16">
        <v>1910</v>
      </c>
      <c r="E3" s="16" t="s">
        <v>50</v>
      </c>
      <c r="F3" s="20" t="s">
        <v>51</v>
      </c>
      <c r="G3" s="16" t="s">
        <v>52</v>
      </c>
      <c r="H3" s="18" t="str">
        <f t="shared" si="0"/>
        <v>mouvements/post-impressionnisme.md</v>
      </c>
      <c r="I3" s="16" t="s">
        <v>46</v>
      </c>
      <c r="J3" s="18">
        <f>IF(A3="","",COUNTIF(Artistes!$G$2:$G$301,A3))</f>
        <v>4</v>
      </c>
      <c r="K3" s="18">
        <f>IF(A3="","",COUNTIF(Œuvres!$F$2:$F$301,A3))</f>
        <v>14</v>
      </c>
      <c r="L3" s="19" t="s">
        <v>53</v>
      </c>
    </row>
    <row r="4" spans="1:12" ht="25.5" x14ac:dyDescent="0.25">
      <c r="A4" s="16" t="s">
        <v>54</v>
      </c>
      <c r="B4" s="16" t="s">
        <v>55</v>
      </c>
      <c r="C4" s="16">
        <v>1904</v>
      </c>
      <c r="D4" s="16">
        <v>1910</v>
      </c>
      <c r="E4" s="16" t="s">
        <v>50</v>
      </c>
      <c r="F4" s="21" t="s">
        <v>56</v>
      </c>
      <c r="G4" s="16" t="s">
        <v>57</v>
      </c>
      <c r="H4" s="18" t="str">
        <f t="shared" si="0"/>
        <v>mouvements/fauvisme.md</v>
      </c>
      <c r="I4" s="16" t="s">
        <v>46</v>
      </c>
      <c r="J4" s="18">
        <f>IF(A4="","",COUNTIF(Artistes!$G$2:$G$301,A4))</f>
        <v>3</v>
      </c>
      <c r="K4" s="18">
        <f>IF(A4="","",COUNTIF(Œuvres!$F$2:$F$301,A4))</f>
        <v>12</v>
      </c>
      <c r="L4" s="16"/>
    </row>
    <row r="5" spans="1:12" ht="25.5" x14ac:dyDescent="0.25">
      <c r="A5" s="16" t="s">
        <v>58</v>
      </c>
      <c r="B5" s="16" t="s">
        <v>59</v>
      </c>
      <c r="C5" s="16">
        <v>1907</v>
      </c>
      <c r="D5" s="16">
        <v>1914</v>
      </c>
      <c r="E5" s="16" t="s">
        <v>43</v>
      </c>
      <c r="F5" s="22" t="s">
        <v>60</v>
      </c>
      <c r="G5" s="16" t="s">
        <v>61</v>
      </c>
      <c r="H5" s="18" t="str">
        <f t="shared" si="0"/>
        <v>mouvements/cubisme.md</v>
      </c>
      <c r="I5" s="16" t="s">
        <v>46</v>
      </c>
      <c r="J5" s="18">
        <f>IF(A5="","",COUNTIF(Artistes!$G$2:$G$301,A5))</f>
        <v>3</v>
      </c>
      <c r="K5" s="18">
        <f>IF(A5="","",COUNTIF(Œuvres!$F$2:$F$301,A5))</f>
        <v>11</v>
      </c>
      <c r="L5" s="16"/>
    </row>
    <row r="6" spans="1:12" ht="25.5" x14ac:dyDescent="0.25">
      <c r="A6" s="16" t="s">
        <v>62</v>
      </c>
      <c r="B6" s="16" t="s">
        <v>63</v>
      </c>
      <c r="C6" s="16">
        <v>1905</v>
      </c>
      <c r="D6" s="16">
        <v>1930</v>
      </c>
      <c r="E6" s="16" t="s">
        <v>64</v>
      </c>
      <c r="F6" s="23" t="s">
        <v>65</v>
      </c>
      <c r="G6" s="16" t="s">
        <v>66</v>
      </c>
      <c r="H6" s="18" t="str">
        <f t="shared" si="0"/>
        <v>mouvements/expressionnisme.md</v>
      </c>
      <c r="I6" s="16" t="s">
        <v>46</v>
      </c>
      <c r="J6" s="18">
        <f>IF(A6="","",COUNTIF(Artistes!$G$2:$G$301,A6))</f>
        <v>3</v>
      </c>
      <c r="K6" s="18">
        <f>IF(A6="","",COUNTIF(Œuvres!$F$2:$F$301,A6))</f>
        <v>8</v>
      </c>
      <c r="L6" s="16"/>
    </row>
    <row r="7" spans="1:12" ht="25.5" x14ac:dyDescent="0.25">
      <c r="A7" s="16" t="s">
        <v>67</v>
      </c>
      <c r="B7" s="16" t="s">
        <v>68</v>
      </c>
      <c r="C7" s="16">
        <v>1910</v>
      </c>
      <c r="D7" s="16">
        <v>1944</v>
      </c>
      <c r="E7" s="16" t="s">
        <v>69</v>
      </c>
      <c r="F7" s="24" t="s">
        <v>70</v>
      </c>
      <c r="G7" s="16" t="s">
        <v>71</v>
      </c>
      <c r="H7" s="18" t="str">
        <f t="shared" si="0"/>
        <v>mouvements/abstraction.md</v>
      </c>
      <c r="I7" s="16" t="s">
        <v>46</v>
      </c>
      <c r="J7" s="18">
        <f>IF(A7="","",COUNTIF(Artistes!$G$2:$G$301,A7))</f>
        <v>4</v>
      </c>
      <c r="K7" s="18">
        <f>IF(A7="","",COUNTIF(Œuvres!$F$2:$F$301,A7))</f>
        <v>14</v>
      </c>
      <c r="L7" s="19" t="s">
        <v>72</v>
      </c>
    </row>
    <row r="8" spans="1:12" ht="25.5" x14ac:dyDescent="0.25">
      <c r="A8" s="16" t="s">
        <v>73</v>
      </c>
      <c r="B8" s="16" t="s">
        <v>74</v>
      </c>
      <c r="C8" s="16">
        <v>1916</v>
      </c>
      <c r="D8" s="16">
        <v>1923</v>
      </c>
      <c r="E8" s="16" t="s">
        <v>75</v>
      </c>
      <c r="F8" s="25" t="s">
        <v>76</v>
      </c>
      <c r="G8" s="16" t="s">
        <v>77</v>
      </c>
      <c r="H8" s="18" t="str">
        <f t="shared" si="0"/>
        <v>mouvements/dadaisme.md</v>
      </c>
      <c r="I8" s="16" t="s">
        <v>46</v>
      </c>
      <c r="J8" s="18">
        <f>IF(A8="","",COUNTIF(Artistes!$G$2:$G$301,A8))</f>
        <v>4</v>
      </c>
      <c r="K8" s="18">
        <f>IF(A8="","",COUNTIF(Œuvres!$F$2:$F$301,A8))</f>
        <v>12</v>
      </c>
      <c r="L8" s="16"/>
    </row>
    <row r="9" spans="1:12" ht="25.5" x14ac:dyDescent="0.25">
      <c r="A9" s="16" t="s">
        <v>78</v>
      </c>
      <c r="B9" s="16" t="s">
        <v>79</v>
      </c>
      <c r="C9" s="16">
        <v>1924</v>
      </c>
      <c r="D9" s="16">
        <v>1940</v>
      </c>
      <c r="E9" s="16" t="s">
        <v>43</v>
      </c>
      <c r="F9" s="26" t="s">
        <v>80</v>
      </c>
      <c r="G9" s="16" t="s">
        <v>81</v>
      </c>
      <c r="H9" s="18" t="str">
        <f t="shared" si="0"/>
        <v>mouvements/surrealisme.md</v>
      </c>
      <c r="I9" s="16" t="s">
        <v>46</v>
      </c>
      <c r="J9" s="18">
        <f>IF(A9="","",COUNTIF(Artistes!$G$2:$G$301,A9))</f>
        <v>4</v>
      </c>
      <c r="K9" s="18">
        <f>IF(A9="","",COUNTIF(Œuvres!$F$2:$F$301,A9))</f>
        <v>10</v>
      </c>
      <c r="L9" s="19" t="s">
        <v>82</v>
      </c>
    </row>
    <row r="10" spans="1:12" ht="25.5" x14ac:dyDescent="0.25">
      <c r="A10" s="16" t="s">
        <v>83</v>
      </c>
      <c r="B10" s="16" t="s">
        <v>84</v>
      </c>
      <c r="C10" s="16">
        <v>1943</v>
      </c>
      <c r="D10" s="16">
        <v>1960</v>
      </c>
      <c r="E10" s="16" t="s">
        <v>85</v>
      </c>
      <c r="F10" s="27" t="s">
        <v>86</v>
      </c>
      <c r="G10" s="16" t="s">
        <v>87</v>
      </c>
      <c r="H10" s="18" t="str">
        <f t="shared" si="0"/>
        <v>mouvements/expressionnisme-abstrait.md</v>
      </c>
      <c r="I10" s="16" t="s">
        <v>46</v>
      </c>
      <c r="J10" s="18">
        <f>IF(A10="","",COUNTIF(Artistes!$G$2:$G$301,A10))</f>
        <v>4</v>
      </c>
      <c r="K10" s="18">
        <f>IF(A10="","",COUNTIF(Œuvres!$F$2:$F$301,A10))</f>
        <v>8</v>
      </c>
      <c r="L10" s="16"/>
    </row>
    <row r="11" spans="1:12" x14ac:dyDescent="0.25">
      <c r="A11" s="16"/>
      <c r="B11" s="16"/>
      <c r="C11" s="16"/>
      <c r="D11" s="16"/>
      <c r="E11" s="16"/>
      <c r="F11" s="16"/>
      <c r="G11" s="16"/>
      <c r="H11" s="18" t="str">
        <f t="shared" si="0"/>
        <v/>
      </c>
      <c r="I11" s="16"/>
      <c r="J11" s="18" t="str">
        <f>IF(A11="","",COUNTIF(Artistes!$G$2:$G$301,A11))</f>
        <v/>
      </c>
      <c r="K11" s="18" t="str">
        <f>IF(A11="","",COUNTIF(Œuvres!$F$2:$F$301,A11))</f>
        <v/>
      </c>
      <c r="L11" s="16"/>
    </row>
    <row r="12" spans="1:12" x14ac:dyDescent="0.25">
      <c r="A12" s="16"/>
      <c r="B12" s="16"/>
      <c r="C12" s="16"/>
      <c r="D12" s="16"/>
      <c r="E12" s="16"/>
      <c r="F12" s="16"/>
      <c r="G12" s="16"/>
      <c r="H12" s="18" t="str">
        <f t="shared" si="0"/>
        <v/>
      </c>
      <c r="I12" s="16"/>
      <c r="J12" s="18" t="str">
        <f>IF(A12="","",COUNTIF(Artistes!$G$2:$G$301,A12))</f>
        <v/>
      </c>
      <c r="K12" s="18" t="str">
        <f>IF(A12="","",COUNTIF(Œuvres!$F$2:$F$301,A12))</f>
        <v/>
      </c>
      <c r="L12" s="16"/>
    </row>
    <row r="13" spans="1:12" x14ac:dyDescent="0.25">
      <c r="A13" s="16"/>
      <c r="B13" s="16"/>
      <c r="C13" s="16"/>
      <c r="D13" s="16"/>
      <c r="E13" s="16"/>
      <c r="F13" s="16"/>
      <c r="G13" s="16"/>
      <c r="H13" s="18" t="str">
        <f t="shared" si="0"/>
        <v/>
      </c>
      <c r="I13" s="16"/>
      <c r="J13" s="18" t="str">
        <f>IF(A13="","",COUNTIF(Artistes!$G$2:$G$301,A13))</f>
        <v/>
      </c>
      <c r="K13" s="18" t="str">
        <f>IF(A13="","",COUNTIF(Œuvres!$F$2:$F$301,A13))</f>
        <v/>
      </c>
      <c r="L13" s="16"/>
    </row>
    <row r="14" spans="1:12" x14ac:dyDescent="0.25">
      <c r="A14" s="16"/>
      <c r="B14" s="16"/>
      <c r="C14" s="16"/>
      <c r="D14" s="16"/>
      <c r="E14" s="16"/>
      <c r="F14" s="16"/>
      <c r="G14" s="16"/>
      <c r="H14" s="18" t="str">
        <f t="shared" si="0"/>
        <v/>
      </c>
      <c r="I14" s="16"/>
      <c r="J14" s="18" t="str">
        <f>IF(A14="","",COUNTIF(Artistes!$G$2:$G$301,A14))</f>
        <v/>
      </c>
      <c r="K14" s="18" t="str">
        <f>IF(A14="","",COUNTIF(Œuvres!$F$2:$F$301,A14))</f>
        <v/>
      </c>
      <c r="L14" s="16"/>
    </row>
    <row r="15" spans="1:12" x14ac:dyDescent="0.25">
      <c r="A15" s="16"/>
      <c r="B15" s="16"/>
      <c r="C15" s="16"/>
      <c r="D15" s="16"/>
      <c r="E15" s="16"/>
      <c r="F15" s="16"/>
      <c r="G15" s="16"/>
      <c r="H15" s="18" t="str">
        <f t="shared" si="0"/>
        <v/>
      </c>
      <c r="I15" s="16"/>
      <c r="J15" s="18" t="str">
        <f>IF(A15="","",COUNTIF(Artistes!$G$2:$G$301,A15))</f>
        <v/>
      </c>
      <c r="K15" s="18" t="str">
        <f>IF(A15="","",COUNTIF(Œuvres!$F$2:$F$301,A15))</f>
        <v/>
      </c>
      <c r="L15" s="16"/>
    </row>
    <row r="16" spans="1:12" x14ac:dyDescent="0.25">
      <c r="A16" s="16"/>
      <c r="B16" s="16"/>
      <c r="C16" s="16"/>
      <c r="D16" s="16"/>
      <c r="E16" s="16"/>
      <c r="F16" s="16"/>
      <c r="G16" s="16"/>
      <c r="H16" s="18" t="str">
        <f t="shared" si="0"/>
        <v/>
      </c>
      <c r="I16" s="16"/>
      <c r="J16" s="18" t="str">
        <f>IF(A16="","",COUNTIF(Artistes!$G$2:$G$301,A16))</f>
        <v/>
      </c>
      <c r="K16" s="18" t="str">
        <f>IF(A16="","",COUNTIF(Œuvres!$F$2:$F$301,A16))</f>
        <v/>
      </c>
      <c r="L16" s="16"/>
    </row>
    <row r="17" spans="1:12" x14ac:dyDescent="0.25">
      <c r="A17" s="16"/>
      <c r="B17" s="16"/>
      <c r="C17" s="16"/>
      <c r="D17" s="16"/>
      <c r="E17" s="16"/>
      <c r="F17" s="16"/>
      <c r="G17" s="16"/>
      <c r="H17" s="18" t="str">
        <f t="shared" si="0"/>
        <v/>
      </c>
      <c r="I17" s="16"/>
      <c r="J17" s="18" t="str">
        <f>IF(A17="","",COUNTIF(Artistes!$G$2:$G$301,A17))</f>
        <v/>
      </c>
      <c r="K17" s="18" t="str">
        <f>IF(A17="","",COUNTIF(Œuvres!$F$2:$F$301,A17))</f>
        <v/>
      </c>
      <c r="L17" s="16"/>
    </row>
    <row r="18" spans="1:12" x14ac:dyDescent="0.25">
      <c r="A18" s="16"/>
      <c r="B18" s="16"/>
      <c r="C18" s="16"/>
      <c r="D18" s="16"/>
      <c r="E18" s="16"/>
      <c r="F18" s="16"/>
      <c r="G18" s="16"/>
      <c r="H18" s="18" t="str">
        <f t="shared" si="0"/>
        <v/>
      </c>
      <c r="I18" s="16"/>
      <c r="J18" s="18" t="str">
        <f>IF(A18="","",COUNTIF(Artistes!$G$2:$G$301,A18))</f>
        <v/>
      </c>
      <c r="K18" s="18" t="str">
        <f>IF(A18="","",COUNTIF(Œuvres!$F$2:$F$301,A18))</f>
        <v/>
      </c>
      <c r="L18" s="16"/>
    </row>
    <row r="19" spans="1:12" x14ac:dyDescent="0.25">
      <c r="A19" s="16"/>
      <c r="B19" s="16"/>
      <c r="C19" s="16"/>
      <c r="D19" s="16"/>
      <c r="E19" s="16"/>
      <c r="F19" s="16"/>
      <c r="G19" s="16"/>
      <c r="H19" s="18" t="str">
        <f t="shared" si="0"/>
        <v/>
      </c>
      <c r="I19" s="16"/>
      <c r="J19" s="18" t="str">
        <f>IF(A19="","",COUNTIF(Artistes!$G$2:$G$301,A19))</f>
        <v/>
      </c>
      <c r="K19" s="18" t="str">
        <f>IF(A19="","",COUNTIF(Œuvres!$F$2:$F$301,A19))</f>
        <v/>
      </c>
      <c r="L19" s="16"/>
    </row>
    <row r="20" spans="1:12" x14ac:dyDescent="0.25">
      <c r="A20" s="16"/>
      <c r="B20" s="16"/>
      <c r="C20" s="16"/>
      <c r="D20" s="16"/>
      <c r="E20" s="16"/>
      <c r="F20" s="16"/>
      <c r="G20" s="16"/>
      <c r="H20" s="18" t="str">
        <f t="shared" si="0"/>
        <v/>
      </c>
      <c r="I20" s="16"/>
      <c r="J20" s="18" t="str">
        <f>IF(A20="","",COUNTIF(Artistes!$G$2:$G$301,A20))</f>
        <v/>
      </c>
      <c r="K20" s="18" t="str">
        <f>IF(A20="","",COUNTIF(Œuvres!$F$2:$F$301,A20))</f>
        <v/>
      </c>
      <c r="L20" s="16"/>
    </row>
    <row r="21" spans="1:12" x14ac:dyDescent="0.25">
      <c r="A21" s="16"/>
      <c r="B21" s="16"/>
      <c r="C21" s="16"/>
      <c r="D21" s="16"/>
      <c r="E21" s="16"/>
      <c r="F21" s="16"/>
      <c r="G21" s="16"/>
      <c r="H21" s="18" t="str">
        <f t="shared" si="0"/>
        <v/>
      </c>
      <c r="I21" s="16"/>
      <c r="J21" s="18" t="str">
        <f>IF(A21="","",COUNTIF(Artistes!$G$2:$G$301,A21))</f>
        <v/>
      </c>
      <c r="K21" s="18" t="str">
        <f>IF(A21="","",COUNTIF(Œuvres!$F$2:$F$301,A21))</f>
        <v/>
      </c>
      <c r="L21" s="16"/>
    </row>
    <row r="22" spans="1:12" x14ac:dyDescent="0.25">
      <c r="A22" s="16"/>
      <c r="B22" s="16"/>
      <c r="C22" s="16"/>
      <c r="D22" s="16"/>
      <c r="E22" s="16"/>
      <c r="F22" s="16"/>
      <c r="G22" s="16"/>
      <c r="H22" s="18" t="str">
        <f t="shared" si="0"/>
        <v/>
      </c>
      <c r="I22" s="16"/>
      <c r="J22" s="18" t="str">
        <f>IF(A22="","",COUNTIF(Artistes!$G$2:$G$301,A22))</f>
        <v/>
      </c>
      <c r="K22" s="18" t="str">
        <f>IF(A22="","",COUNTIF(Œuvres!$F$2:$F$301,A22))</f>
        <v/>
      </c>
      <c r="L22" s="16"/>
    </row>
    <row r="23" spans="1:12" x14ac:dyDescent="0.25">
      <c r="A23" s="16"/>
      <c r="B23" s="16"/>
      <c r="C23" s="16"/>
      <c r="D23" s="16"/>
      <c r="E23" s="16"/>
      <c r="F23" s="16"/>
      <c r="G23" s="16"/>
      <c r="H23" s="18" t="str">
        <f t="shared" si="0"/>
        <v/>
      </c>
      <c r="I23" s="16"/>
      <c r="J23" s="18" t="str">
        <f>IF(A23="","",COUNTIF(Artistes!$G$2:$G$301,A23))</f>
        <v/>
      </c>
      <c r="K23" s="18" t="str">
        <f>IF(A23="","",COUNTIF(Œuvres!$F$2:$F$301,A23))</f>
        <v/>
      </c>
      <c r="L23" s="16"/>
    </row>
    <row r="24" spans="1:12" x14ac:dyDescent="0.25">
      <c r="A24" s="16"/>
      <c r="B24" s="16"/>
      <c r="C24" s="16"/>
      <c r="D24" s="16"/>
      <c r="E24" s="16"/>
      <c r="F24" s="16"/>
      <c r="G24" s="16"/>
      <c r="H24" s="18" t="str">
        <f t="shared" si="0"/>
        <v/>
      </c>
      <c r="I24" s="16"/>
      <c r="J24" s="18" t="str">
        <f>IF(A24="","",COUNTIF(Artistes!$G$2:$G$301,A24))</f>
        <v/>
      </c>
      <c r="K24" s="18" t="str">
        <f>IF(A24="","",COUNTIF(Œuvres!$F$2:$F$301,A24))</f>
        <v/>
      </c>
      <c r="L24" s="16"/>
    </row>
    <row r="25" spans="1:12" x14ac:dyDescent="0.25">
      <c r="A25" s="16"/>
      <c r="B25" s="16"/>
      <c r="C25" s="16"/>
      <c r="D25" s="16"/>
      <c r="E25" s="16"/>
      <c r="F25" s="16"/>
      <c r="G25" s="16"/>
      <c r="H25" s="18" t="str">
        <f t="shared" si="0"/>
        <v/>
      </c>
      <c r="I25" s="16"/>
      <c r="J25" s="18" t="str">
        <f>IF(A25="","",COUNTIF(Artistes!$G$2:$G$301,A25))</f>
        <v/>
      </c>
      <c r="K25" s="18" t="str">
        <f>IF(A25="","",COUNTIF(Œuvres!$F$2:$F$301,A25))</f>
        <v/>
      </c>
      <c r="L25" s="16"/>
    </row>
    <row r="26" spans="1:12" x14ac:dyDescent="0.25">
      <c r="A26" s="16"/>
      <c r="B26" s="16"/>
      <c r="C26" s="16"/>
      <c r="D26" s="16"/>
      <c r="E26" s="16"/>
      <c r="F26" s="16"/>
      <c r="G26" s="16"/>
      <c r="H26" s="18" t="str">
        <f t="shared" si="0"/>
        <v/>
      </c>
      <c r="I26" s="16"/>
      <c r="J26" s="18" t="str">
        <f>IF(A26="","",COUNTIF(Artistes!$G$2:$G$301,A26))</f>
        <v/>
      </c>
      <c r="K26" s="18" t="str">
        <f>IF(A26="","",COUNTIF(Œuvres!$F$2:$F$301,A26))</f>
        <v/>
      </c>
      <c r="L26" s="16"/>
    </row>
    <row r="27" spans="1:12" x14ac:dyDescent="0.25">
      <c r="A27" s="16"/>
      <c r="B27" s="16"/>
      <c r="C27" s="16"/>
      <c r="D27" s="16"/>
      <c r="E27" s="16"/>
      <c r="F27" s="16"/>
      <c r="G27" s="16"/>
      <c r="H27" s="18" t="str">
        <f t="shared" si="0"/>
        <v/>
      </c>
      <c r="I27" s="16"/>
      <c r="J27" s="18" t="str">
        <f>IF(A27="","",COUNTIF(Artistes!$G$2:$G$301,A27))</f>
        <v/>
      </c>
      <c r="K27" s="18" t="str">
        <f>IF(A27="","",COUNTIF(Œuvres!$F$2:$F$301,A27))</f>
        <v/>
      </c>
      <c r="L27" s="16"/>
    </row>
    <row r="28" spans="1:12" x14ac:dyDescent="0.25">
      <c r="A28" s="16"/>
      <c r="B28" s="16"/>
      <c r="C28" s="16"/>
      <c r="D28" s="16"/>
      <c r="E28" s="16"/>
      <c r="F28" s="16"/>
      <c r="G28" s="16"/>
      <c r="H28" s="18" t="str">
        <f t="shared" si="0"/>
        <v/>
      </c>
      <c r="I28" s="16"/>
      <c r="J28" s="18" t="str">
        <f>IF(A28="","",COUNTIF(Artistes!$G$2:$G$301,A28))</f>
        <v/>
      </c>
      <c r="K28" s="18" t="str">
        <f>IF(A28="","",COUNTIF(Œuvres!$F$2:$F$301,A28))</f>
        <v/>
      </c>
      <c r="L28" s="16"/>
    </row>
    <row r="29" spans="1:12" x14ac:dyDescent="0.25">
      <c r="A29" s="16"/>
      <c r="B29" s="16"/>
      <c r="C29" s="16"/>
      <c r="D29" s="16"/>
      <c r="E29" s="16"/>
      <c r="F29" s="16"/>
      <c r="G29" s="16"/>
      <c r="H29" s="18" t="str">
        <f t="shared" si="0"/>
        <v/>
      </c>
      <c r="I29" s="16"/>
      <c r="J29" s="18" t="str">
        <f>IF(A29="","",COUNTIF(Artistes!$G$2:$G$301,A29))</f>
        <v/>
      </c>
      <c r="K29" s="18" t="str">
        <f>IF(A29="","",COUNTIF(Œuvres!$F$2:$F$301,A29))</f>
        <v/>
      </c>
      <c r="L29" s="16"/>
    </row>
    <row r="30" spans="1:12" x14ac:dyDescent="0.25">
      <c r="A30" s="16"/>
      <c r="B30" s="16"/>
      <c r="C30" s="16"/>
      <c r="D30" s="16"/>
      <c r="E30" s="16"/>
      <c r="F30" s="16"/>
      <c r="G30" s="16"/>
      <c r="H30" s="18" t="str">
        <f t="shared" si="0"/>
        <v/>
      </c>
      <c r="I30" s="16"/>
      <c r="J30" s="18" t="str">
        <f>IF(A30="","",COUNTIF(Artistes!$G$2:$G$301,A30))</f>
        <v/>
      </c>
      <c r="K30" s="18" t="str">
        <f>IF(A30="","",COUNTIF(Œuvres!$F$2:$F$301,A30))</f>
        <v/>
      </c>
      <c r="L30" s="16"/>
    </row>
    <row r="31" spans="1:12" x14ac:dyDescent="0.25">
      <c r="A31" s="16"/>
      <c r="B31" s="16"/>
      <c r="C31" s="16"/>
      <c r="D31" s="16"/>
      <c r="E31" s="16"/>
      <c r="F31" s="16"/>
      <c r="G31" s="16"/>
      <c r="H31" s="18" t="str">
        <f t="shared" si="0"/>
        <v/>
      </c>
      <c r="I31" s="16"/>
      <c r="J31" s="18" t="str">
        <f>IF(A31="","",COUNTIF(Artistes!$G$2:$G$301,A31))</f>
        <v/>
      </c>
      <c r="K31" s="18" t="str">
        <f>IF(A31="","",COUNTIF(Œuvres!$F$2:$F$301,A31))</f>
        <v/>
      </c>
      <c r="L31" s="16"/>
    </row>
    <row r="32" spans="1:12" x14ac:dyDescent="0.25">
      <c r="A32" s="16"/>
      <c r="B32" s="16"/>
      <c r="C32" s="16"/>
      <c r="D32" s="16"/>
      <c r="E32" s="16"/>
      <c r="F32" s="16"/>
      <c r="G32" s="16"/>
      <c r="H32" s="18" t="str">
        <f t="shared" si="0"/>
        <v/>
      </c>
      <c r="I32" s="16"/>
      <c r="J32" s="18" t="str">
        <f>IF(A32="","",COUNTIF(Artistes!$G$2:$G$301,A32))</f>
        <v/>
      </c>
      <c r="K32" s="18" t="str">
        <f>IF(A32="","",COUNTIF(Œuvres!$F$2:$F$301,A32))</f>
        <v/>
      </c>
      <c r="L32" s="16"/>
    </row>
    <row r="33" spans="1:12" x14ac:dyDescent="0.25">
      <c r="A33" s="16"/>
      <c r="B33" s="16"/>
      <c r="C33" s="16"/>
      <c r="D33" s="16"/>
      <c r="E33" s="16"/>
      <c r="F33" s="16"/>
      <c r="G33" s="16"/>
      <c r="H33" s="18" t="str">
        <f t="shared" si="0"/>
        <v/>
      </c>
      <c r="I33" s="16"/>
      <c r="J33" s="18" t="str">
        <f>IF(A33="","",COUNTIF(Artistes!$G$2:$G$301,A33))</f>
        <v/>
      </c>
      <c r="K33" s="18" t="str">
        <f>IF(A33="","",COUNTIF(Œuvres!$F$2:$F$301,A33))</f>
        <v/>
      </c>
      <c r="L33" s="16"/>
    </row>
    <row r="34" spans="1:12" x14ac:dyDescent="0.25">
      <c r="A34" s="16"/>
      <c r="B34" s="16"/>
      <c r="C34" s="16"/>
      <c r="D34" s="16"/>
      <c r="E34" s="16"/>
      <c r="F34" s="16"/>
      <c r="G34" s="16"/>
      <c r="H34" s="18" t="str">
        <f t="shared" si="0"/>
        <v/>
      </c>
      <c r="I34" s="16"/>
      <c r="J34" s="18" t="str">
        <f>IF(A34="","",COUNTIF(Artistes!$G$2:$G$301,A34))</f>
        <v/>
      </c>
      <c r="K34" s="18" t="str">
        <f>IF(A34="","",COUNTIF(Œuvres!$F$2:$F$301,A34))</f>
        <v/>
      </c>
      <c r="L34" s="16"/>
    </row>
    <row r="35" spans="1:12" x14ac:dyDescent="0.25">
      <c r="A35" s="16"/>
      <c r="B35" s="16"/>
      <c r="C35" s="16"/>
      <c r="D35" s="16"/>
      <c r="E35" s="16"/>
      <c r="F35" s="16"/>
      <c r="G35" s="16"/>
      <c r="H35" s="18" t="str">
        <f t="shared" si="0"/>
        <v/>
      </c>
      <c r="I35" s="16"/>
      <c r="J35" s="18" t="str">
        <f>IF(A35="","",COUNTIF(Artistes!$G$2:$G$301,A35))</f>
        <v/>
      </c>
      <c r="K35" s="18" t="str">
        <f>IF(A35="","",COUNTIF(Œuvres!$F$2:$F$301,A35))</f>
        <v/>
      </c>
      <c r="L35" s="16"/>
    </row>
    <row r="36" spans="1:12" x14ac:dyDescent="0.25">
      <c r="A36" s="16"/>
      <c r="B36" s="16"/>
      <c r="C36" s="16"/>
      <c r="D36" s="16"/>
      <c r="E36" s="16"/>
      <c r="F36" s="16"/>
      <c r="G36" s="16"/>
      <c r="H36" s="18" t="str">
        <f t="shared" si="0"/>
        <v/>
      </c>
      <c r="I36" s="16"/>
      <c r="J36" s="18" t="str">
        <f>IF(A36="","",COUNTIF(Artistes!$G$2:$G$301,A36))</f>
        <v/>
      </c>
      <c r="K36" s="18" t="str">
        <f>IF(A36="","",COUNTIF(Œuvres!$F$2:$F$301,A36))</f>
        <v/>
      </c>
      <c r="L36" s="16"/>
    </row>
    <row r="37" spans="1:12" x14ac:dyDescent="0.25">
      <c r="A37" s="16"/>
      <c r="B37" s="16"/>
      <c r="C37" s="16"/>
      <c r="D37" s="16"/>
      <c r="E37" s="16"/>
      <c r="F37" s="16"/>
      <c r="G37" s="16"/>
      <c r="H37" s="18" t="str">
        <f t="shared" si="0"/>
        <v/>
      </c>
      <c r="I37" s="16"/>
      <c r="J37" s="18" t="str">
        <f>IF(A37="","",COUNTIF(Artistes!$G$2:$G$301,A37))</f>
        <v/>
      </c>
      <c r="K37" s="18" t="str">
        <f>IF(A37="","",COUNTIF(Œuvres!$F$2:$F$301,A37))</f>
        <v/>
      </c>
      <c r="L37" s="16"/>
    </row>
    <row r="38" spans="1:12" x14ac:dyDescent="0.25">
      <c r="A38" s="16"/>
      <c r="B38" s="16"/>
      <c r="C38" s="16"/>
      <c r="D38" s="16"/>
      <c r="E38" s="16"/>
      <c r="F38" s="16"/>
      <c r="G38" s="16"/>
      <c r="H38" s="18" t="str">
        <f t="shared" si="0"/>
        <v/>
      </c>
      <c r="I38" s="16"/>
      <c r="J38" s="18" t="str">
        <f>IF(A38="","",COUNTIF(Artistes!$G$2:$G$301,A38))</f>
        <v/>
      </c>
      <c r="K38" s="18" t="str">
        <f>IF(A38="","",COUNTIF(Œuvres!$F$2:$F$301,A38))</f>
        <v/>
      </c>
      <c r="L38" s="16"/>
    </row>
    <row r="39" spans="1:12" x14ac:dyDescent="0.25">
      <c r="A39" s="16"/>
      <c r="B39" s="16"/>
      <c r="C39" s="16"/>
      <c r="D39" s="16"/>
      <c r="E39" s="16"/>
      <c r="F39" s="16"/>
      <c r="G39" s="16"/>
      <c r="H39" s="18" t="str">
        <f t="shared" si="0"/>
        <v/>
      </c>
      <c r="I39" s="16"/>
      <c r="J39" s="18" t="str">
        <f>IF(A39="","",COUNTIF(Artistes!$G$2:$G$301,A39))</f>
        <v/>
      </c>
      <c r="K39" s="18" t="str">
        <f>IF(A39="","",COUNTIF(Œuvres!$F$2:$F$301,A39))</f>
        <v/>
      </c>
      <c r="L39" s="16"/>
    </row>
    <row r="40" spans="1:12" x14ac:dyDescent="0.25">
      <c r="A40" s="16"/>
      <c r="B40" s="16"/>
      <c r="C40" s="16"/>
      <c r="D40" s="16"/>
      <c r="E40" s="16"/>
      <c r="F40" s="16"/>
      <c r="G40" s="16"/>
      <c r="H40" s="18" t="str">
        <f t="shared" si="0"/>
        <v/>
      </c>
      <c r="I40" s="16"/>
      <c r="J40" s="18" t="str">
        <f>IF(A40="","",COUNTIF(Artistes!$G$2:$G$301,A40))</f>
        <v/>
      </c>
      <c r="K40" s="18" t="str">
        <f>IF(A40="","",COUNTIF(Œuvres!$F$2:$F$301,A40))</f>
        <v/>
      </c>
      <c r="L40" s="16"/>
    </row>
    <row r="41" spans="1:12" x14ac:dyDescent="0.25">
      <c r="A41" s="16"/>
      <c r="B41" s="16"/>
      <c r="C41" s="16"/>
      <c r="D41" s="16"/>
      <c r="E41" s="16"/>
      <c r="F41" s="16"/>
      <c r="G41" s="16"/>
      <c r="H41" s="18" t="str">
        <f t="shared" si="0"/>
        <v/>
      </c>
      <c r="I41" s="16"/>
      <c r="J41" s="18" t="str">
        <f>IF(A41="","",COUNTIF(Artistes!$G$2:$G$301,A41))</f>
        <v/>
      </c>
      <c r="K41" s="18" t="str">
        <f>IF(A41="","",COUNTIF(Œuvres!$F$2:$F$301,A41))</f>
        <v/>
      </c>
      <c r="L41" s="16"/>
    </row>
    <row r="42" spans="1:12" x14ac:dyDescent="0.25">
      <c r="A42" s="16"/>
      <c r="B42" s="16"/>
      <c r="C42" s="16"/>
      <c r="D42" s="16"/>
      <c r="E42" s="16"/>
      <c r="F42" s="16"/>
      <c r="G42" s="16"/>
      <c r="H42" s="18" t="str">
        <f t="shared" si="0"/>
        <v/>
      </c>
      <c r="I42" s="16"/>
      <c r="J42" s="18" t="str">
        <f>IF(A42="","",COUNTIF(Artistes!$G$2:$G$301,A42))</f>
        <v/>
      </c>
      <c r="K42" s="18" t="str">
        <f>IF(A42="","",COUNTIF(Œuvres!$F$2:$F$301,A42))</f>
        <v/>
      </c>
      <c r="L42" s="16"/>
    </row>
    <row r="43" spans="1:12" x14ac:dyDescent="0.25">
      <c r="A43" s="16"/>
      <c r="B43" s="16"/>
      <c r="C43" s="16"/>
      <c r="D43" s="16"/>
      <c r="E43" s="16"/>
      <c r="F43" s="16"/>
      <c r="G43" s="16"/>
      <c r="H43" s="18" t="str">
        <f t="shared" si="0"/>
        <v/>
      </c>
      <c r="I43" s="16"/>
      <c r="J43" s="18" t="str">
        <f>IF(A43="","",COUNTIF(Artistes!$G$2:$G$301,A43))</f>
        <v/>
      </c>
      <c r="K43" s="18" t="str">
        <f>IF(A43="","",COUNTIF(Œuvres!$F$2:$F$301,A43))</f>
        <v/>
      </c>
      <c r="L43" s="16"/>
    </row>
    <row r="44" spans="1:12" x14ac:dyDescent="0.25">
      <c r="A44" s="16"/>
      <c r="B44" s="16"/>
      <c r="C44" s="16"/>
      <c r="D44" s="16"/>
      <c r="E44" s="16"/>
      <c r="F44" s="16"/>
      <c r="G44" s="16"/>
      <c r="H44" s="18" t="str">
        <f t="shared" si="0"/>
        <v/>
      </c>
      <c r="I44" s="16"/>
      <c r="J44" s="18" t="str">
        <f>IF(A44="","",COUNTIF(Artistes!$G$2:$G$301,A44))</f>
        <v/>
      </c>
      <c r="K44" s="18" t="str">
        <f>IF(A44="","",COUNTIF(Œuvres!$F$2:$F$301,A44))</f>
        <v/>
      </c>
      <c r="L44" s="16"/>
    </row>
    <row r="45" spans="1:12" x14ac:dyDescent="0.25">
      <c r="A45" s="16"/>
      <c r="B45" s="16"/>
      <c r="C45" s="16"/>
      <c r="D45" s="16"/>
      <c r="E45" s="16"/>
      <c r="F45" s="16"/>
      <c r="G45" s="16"/>
      <c r="H45" s="18" t="str">
        <f t="shared" si="0"/>
        <v/>
      </c>
      <c r="I45" s="16"/>
      <c r="J45" s="18" t="str">
        <f>IF(A45="","",COUNTIF(Artistes!$G$2:$G$301,A45))</f>
        <v/>
      </c>
      <c r="K45" s="18" t="str">
        <f>IF(A45="","",COUNTIF(Œuvres!$F$2:$F$301,A45))</f>
        <v/>
      </c>
      <c r="L45" s="16"/>
    </row>
    <row r="46" spans="1:12" x14ac:dyDescent="0.25">
      <c r="A46" s="16"/>
      <c r="B46" s="16"/>
      <c r="C46" s="16"/>
      <c r="D46" s="16"/>
      <c r="E46" s="16"/>
      <c r="F46" s="16"/>
      <c r="G46" s="16"/>
      <c r="H46" s="18" t="str">
        <f t="shared" si="0"/>
        <v/>
      </c>
      <c r="I46" s="16"/>
      <c r="J46" s="18" t="str">
        <f>IF(A46="","",COUNTIF(Artistes!$G$2:$G$301,A46))</f>
        <v/>
      </c>
      <c r="K46" s="18" t="str">
        <f>IF(A46="","",COUNTIF(Œuvres!$F$2:$F$301,A46))</f>
        <v/>
      </c>
      <c r="L46" s="16"/>
    </row>
    <row r="47" spans="1:12" x14ac:dyDescent="0.25">
      <c r="A47" s="16"/>
      <c r="B47" s="16"/>
      <c r="C47" s="16"/>
      <c r="D47" s="16"/>
      <c r="E47" s="16"/>
      <c r="F47" s="16"/>
      <c r="G47" s="16"/>
      <c r="H47" s="18" t="str">
        <f t="shared" si="0"/>
        <v/>
      </c>
      <c r="I47" s="16"/>
      <c r="J47" s="18" t="str">
        <f>IF(A47="","",COUNTIF(Artistes!$G$2:$G$301,A47))</f>
        <v/>
      </c>
      <c r="K47" s="18" t="str">
        <f>IF(A47="","",COUNTIF(Œuvres!$F$2:$F$301,A47))</f>
        <v/>
      </c>
      <c r="L47" s="16"/>
    </row>
    <row r="48" spans="1:12" x14ac:dyDescent="0.25">
      <c r="A48" s="16"/>
      <c r="B48" s="16"/>
      <c r="C48" s="16"/>
      <c r="D48" s="16"/>
      <c r="E48" s="16"/>
      <c r="F48" s="16"/>
      <c r="G48" s="16"/>
      <c r="H48" s="18" t="str">
        <f t="shared" si="0"/>
        <v/>
      </c>
      <c r="I48" s="16"/>
      <c r="J48" s="18" t="str">
        <f>IF(A48="","",COUNTIF(Artistes!$G$2:$G$301,A48))</f>
        <v/>
      </c>
      <c r="K48" s="18" t="str">
        <f>IF(A48="","",COUNTIF(Œuvres!$F$2:$F$301,A48))</f>
        <v/>
      </c>
      <c r="L48" s="16"/>
    </row>
    <row r="49" spans="1:12" x14ac:dyDescent="0.25">
      <c r="A49" s="16"/>
      <c r="B49" s="16"/>
      <c r="C49" s="16"/>
      <c r="D49" s="16"/>
      <c r="E49" s="16"/>
      <c r="F49" s="16"/>
      <c r="G49" s="16"/>
      <c r="H49" s="18" t="str">
        <f t="shared" si="0"/>
        <v/>
      </c>
      <c r="I49" s="16"/>
      <c r="J49" s="18" t="str">
        <f>IF(A49="","",COUNTIF(Artistes!$G$2:$G$301,A49))</f>
        <v/>
      </c>
      <c r="K49" s="18" t="str">
        <f>IF(A49="","",COUNTIF(Œuvres!$F$2:$F$301,A49))</f>
        <v/>
      </c>
      <c r="L49" s="16"/>
    </row>
    <row r="50" spans="1:12" x14ac:dyDescent="0.25">
      <c r="A50" s="16"/>
      <c r="B50" s="16"/>
      <c r="C50" s="16"/>
      <c r="D50" s="16"/>
      <c r="E50" s="16"/>
      <c r="F50" s="16"/>
      <c r="G50" s="16"/>
      <c r="H50" s="18" t="str">
        <f t="shared" si="0"/>
        <v/>
      </c>
      <c r="I50" s="16"/>
      <c r="J50" s="18" t="str">
        <f>IF(A50="","",COUNTIF(Artistes!$G$2:$G$301,A50))</f>
        <v/>
      </c>
      <c r="K50" s="18" t="str">
        <f>IF(A50="","",COUNTIF(Œuvres!$F$2:$F$301,A50))</f>
        <v/>
      </c>
      <c r="L50" s="16"/>
    </row>
    <row r="51" spans="1:12" x14ac:dyDescent="0.25">
      <c r="A51" s="16"/>
      <c r="B51" s="16"/>
      <c r="C51" s="16"/>
      <c r="D51" s="16"/>
      <c r="E51" s="16"/>
      <c r="F51" s="16"/>
      <c r="G51" s="16"/>
      <c r="H51" s="18" t="str">
        <f t="shared" si="0"/>
        <v/>
      </c>
      <c r="I51" s="16"/>
      <c r="J51" s="18" t="str">
        <f>IF(A51="","",COUNTIF(Artistes!$G$2:$G$301,A51))</f>
        <v/>
      </c>
      <c r="K51" s="18" t="str">
        <f>IF(A51="","",COUNTIF(Œuvres!$F$2:$F$301,A51))</f>
        <v/>
      </c>
      <c r="L51" s="16"/>
    </row>
    <row r="52" spans="1:12" x14ac:dyDescent="0.25">
      <c r="A52" s="16"/>
      <c r="B52" s="16"/>
      <c r="C52" s="16"/>
      <c r="D52" s="16"/>
      <c r="E52" s="16"/>
      <c r="F52" s="16"/>
      <c r="G52" s="16"/>
      <c r="H52" s="18" t="str">
        <f t="shared" si="0"/>
        <v/>
      </c>
      <c r="I52" s="16"/>
      <c r="J52" s="18" t="str">
        <f>IF(A52="","",COUNTIF(Artistes!$G$2:$G$301,A52))</f>
        <v/>
      </c>
      <c r="K52" s="18" t="str">
        <f>IF(A52="","",COUNTIF(Œuvres!$F$2:$F$301,A52))</f>
        <v/>
      </c>
      <c r="L52" s="16"/>
    </row>
    <row r="53" spans="1:12" x14ac:dyDescent="0.25">
      <c r="A53" s="16"/>
      <c r="B53" s="16"/>
      <c r="C53" s="16"/>
      <c r="D53" s="16"/>
      <c r="E53" s="16"/>
      <c r="F53" s="16"/>
      <c r="G53" s="16"/>
      <c r="H53" s="18" t="str">
        <f t="shared" si="0"/>
        <v/>
      </c>
      <c r="I53" s="16"/>
      <c r="J53" s="18" t="str">
        <f>IF(A53="","",COUNTIF(Artistes!$G$2:$G$301,A53))</f>
        <v/>
      </c>
      <c r="K53" s="18" t="str">
        <f>IF(A53="","",COUNTIF(Œuvres!$F$2:$F$301,A53))</f>
        <v/>
      </c>
      <c r="L53" s="16"/>
    </row>
    <row r="54" spans="1:12" x14ac:dyDescent="0.25">
      <c r="A54" s="16"/>
      <c r="B54" s="16"/>
      <c r="C54" s="16"/>
      <c r="D54" s="16"/>
      <c r="E54" s="16"/>
      <c r="F54" s="16"/>
      <c r="G54" s="16"/>
      <c r="H54" s="18" t="str">
        <f t="shared" si="0"/>
        <v/>
      </c>
      <c r="I54" s="16"/>
      <c r="J54" s="18" t="str">
        <f>IF(A54="","",COUNTIF(Artistes!$G$2:$G$301,A54))</f>
        <v/>
      </c>
      <c r="K54" s="18" t="str">
        <f>IF(A54="","",COUNTIF(Œuvres!$F$2:$F$301,A54))</f>
        <v/>
      </c>
      <c r="L54" s="16"/>
    </row>
    <row r="55" spans="1:12" x14ac:dyDescent="0.25">
      <c r="A55" s="16"/>
      <c r="B55" s="16"/>
      <c r="C55" s="16"/>
      <c r="D55" s="16"/>
      <c r="E55" s="16"/>
      <c r="F55" s="16"/>
      <c r="G55" s="16"/>
      <c r="H55" s="18" t="str">
        <f t="shared" si="0"/>
        <v/>
      </c>
      <c r="I55" s="16"/>
      <c r="J55" s="18" t="str">
        <f>IF(A55="","",COUNTIF(Artistes!$G$2:$G$301,A55))</f>
        <v/>
      </c>
      <c r="K55" s="18" t="str">
        <f>IF(A55="","",COUNTIF(Œuvres!$F$2:$F$301,A55))</f>
        <v/>
      </c>
      <c r="L55" s="16"/>
    </row>
    <row r="56" spans="1:12" x14ac:dyDescent="0.25">
      <c r="A56" s="16"/>
      <c r="B56" s="16"/>
      <c r="C56" s="16"/>
      <c r="D56" s="16"/>
      <c r="E56" s="16"/>
      <c r="F56" s="16"/>
      <c r="G56" s="16"/>
      <c r="H56" s="18" t="str">
        <f t="shared" si="0"/>
        <v/>
      </c>
      <c r="I56" s="16"/>
      <c r="J56" s="18" t="str">
        <f>IF(A56="","",COUNTIF(Artistes!$G$2:$G$301,A56))</f>
        <v/>
      </c>
      <c r="K56" s="18" t="str">
        <f>IF(A56="","",COUNTIF(Œuvres!$F$2:$F$301,A56))</f>
        <v/>
      </c>
      <c r="L56" s="16"/>
    </row>
    <row r="57" spans="1:12" x14ac:dyDescent="0.25">
      <c r="A57" s="16"/>
      <c r="B57" s="16"/>
      <c r="C57" s="16"/>
      <c r="D57" s="16"/>
      <c r="E57" s="16"/>
      <c r="F57" s="16"/>
      <c r="G57" s="16"/>
      <c r="H57" s="18" t="str">
        <f t="shared" si="0"/>
        <v/>
      </c>
      <c r="I57" s="16"/>
      <c r="J57" s="18" t="str">
        <f>IF(A57="","",COUNTIF(Artistes!$G$2:$G$301,A57))</f>
        <v/>
      </c>
      <c r="K57" s="18" t="str">
        <f>IF(A57="","",COUNTIF(Œuvres!$F$2:$F$301,A57))</f>
        <v/>
      </c>
      <c r="L57" s="16"/>
    </row>
    <row r="58" spans="1:12" x14ac:dyDescent="0.25">
      <c r="A58" s="16"/>
      <c r="B58" s="16"/>
      <c r="C58" s="16"/>
      <c r="D58" s="16"/>
      <c r="E58" s="16"/>
      <c r="F58" s="16"/>
      <c r="G58" s="16"/>
      <c r="H58" s="18" t="str">
        <f t="shared" si="0"/>
        <v/>
      </c>
      <c r="I58" s="16"/>
      <c r="J58" s="18" t="str">
        <f>IF(A58="","",COUNTIF(Artistes!$G$2:$G$301,A58))</f>
        <v/>
      </c>
      <c r="K58" s="18" t="str">
        <f>IF(A58="","",COUNTIF(Œuvres!$F$2:$F$301,A58))</f>
        <v/>
      </c>
      <c r="L58" s="16"/>
    </row>
    <row r="59" spans="1:12" x14ac:dyDescent="0.25">
      <c r="A59" s="16"/>
      <c r="B59" s="16"/>
      <c r="C59" s="16"/>
      <c r="D59" s="16"/>
      <c r="E59" s="16"/>
      <c r="F59" s="16"/>
      <c r="G59" s="16"/>
      <c r="H59" s="18" t="str">
        <f t="shared" si="0"/>
        <v/>
      </c>
      <c r="I59" s="16"/>
      <c r="J59" s="18" t="str">
        <f>IF(A59="","",COUNTIF(Artistes!$G$2:$G$301,A59))</f>
        <v/>
      </c>
      <c r="K59" s="18" t="str">
        <f>IF(A59="","",COUNTIF(Œuvres!$F$2:$F$301,A59))</f>
        <v/>
      </c>
      <c r="L59" s="16"/>
    </row>
    <row r="60" spans="1:12" x14ac:dyDescent="0.25">
      <c r="A60" s="16"/>
      <c r="B60" s="16"/>
      <c r="C60" s="16"/>
      <c r="D60" s="16"/>
      <c r="E60" s="16"/>
      <c r="F60" s="16"/>
      <c r="G60" s="16"/>
      <c r="H60" s="18" t="str">
        <f t="shared" si="0"/>
        <v/>
      </c>
      <c r="I60" s="16"/>
      <c r="J60" s="18" t="str">
        <f>IF(A60="","",COUNTIF(Artistes!$G$2:$G$301,A60))</f>
        <v/>
      </c>
      <c r="K60" s="18" t="str">
        <f>IF(A60="","",COUNTIF(Œuvres!$F$2:$F$301,A60))</f>
        <v/>
      </c>
      <c r="L60" s="16"/>
    </row>
    <row r="61" spans="1:12" x14ac:dyDescent="0.25">
      <c r="A61" s="16"/>
      <c r="B61" s="16"/>
      <c r="C61" s="16"/>
      <c r="D61" s="16"/>
      <c r="E61" s="16"/>
      <c r="F61" s="16"/>
      <c r="G61" s="16"/>
      <c r="H61" s="18" t="str">
        <f t="shared" si="0"/>
        <v/>
      </c>
      <c r="I61" s="16"/>
      <c r="J61" s="18" t="str">
        <f>IF(A61="","",COUNTIF(Artistes!$G$2:$G$301,A61))</f>
        <v/>
      </c>
      <c r="K61" s="18" t="str">
        <f>IF(A61="","",COUNTIF(Œuvres!$F$2:$F$301,A61))</f>
        <v/>
      </c>
      <c r="L61" s="16"/>
    </row>
    <row r="62" spans="1:12" x14ac:dyDescent="0.25">
      <c r="A62" s="16"/>
      <c r="B62" s="16"/>
      <c r="C62" s="16"/>
      <c r="D62" s="16"/>
      <c r="E62" s="16"/>
      <c r="F62" s="16"/>
      <c r="G62" s="16"/>
      <c r="H62" s="18" t="str">
        <f t="shared" si="0"/>
        <v/>
      </c>
      <c r="I62" s="16"/>
      <c r="J62" s="18" t="str">
        <f>IF(A62="","",COUNTIF(Artistes!$G$2:$G$301,A62))</f>
        <v/>
      </c>
      <c r="K62" s="18" t="str">
        <f>IF(A62="","",COUNTIF(Œuvres!$F$2:$F$301,A62))</f>
        <v/>
      </c>
      <c r="L62" s="16"/>
    </row>
    <row r="63" spans="1:12" x14ac:dyDescent="0.25">
      <c r="A63" s="16"/>
      <c r="B63" s="16"/>
      <c r="C63" s="16"/>
      <c r="D63" s="16"/>
      <c r="E63" s="16"/>
      <c r="F63" s="16"/>
      <c r="G63" s="16"/>
      <c r="H63" s="18" t="str">
        <f t="shared" si="0"/>
        <v/>
      </c>
      <c r="I63" s="16"/>
      <c r="J63" s="18" t="str">
        <f>IF(A63="","",COUNTIF(Artistes!$G$2:$G$301,A63))</f>
        <v/>
      </c>
      <c r="K63" s="18" t="str">
        <f>IF(A63="","",COUNTIF(Œuvres!$F$2:$F$301,A63))</f>
        <v/>
      </c>
      <c r="L63" s="16"/>
    </row>
    <row r="64" spans="1:12" x14ac:dyDescent="0.25">
      <c r="A64" s="16"/>
      <c r="B64" s="16"/>
      <c r="C64" s="16"/>
      <c r="D64" s="16"/>
      <c r="E64" s="16"/>
      <c r="F64" s="16"/>
      <c r="G64" s="16"/>
      <c r="H64" s="18" t="str">
        <f t="shared" si="0"/>
        <v/>
      </c>
      <c r="I64" s="16"/>
      <c r="J64" s="18" t="str">
        <f>IF(A64="","",COUNTIF(Artistes!$G$2:$G$301,A64))</f>
        <v/>
      </c>
      <c r="K64" s="18" t="str">
        <f>IF(A64="","",COUNTIF(Œuvres!$F$2:$F$301,A64))</f>
        <v/>
      </c>
      <c r="L64" s="16"/>
    </row>
    <row r="65" spans="1:12" x14ac:dyDescent="0.25">
      <c r="A65" s="16"/>
      <c r="B65" s="16"/>
      <c r="C65" s="16"/>
      <c r="D65" s="16"/>
      <c r="E65" s="16"/>
      <c r="F65" s="16"/>
      <c r="G65" s="16"/>
      <c r="H65" s="18" t="str">
        <f t="shared" si="0"/>
        <v/>
      </c>
      <c r="I65" s="16"/>
      <c r="J65" s="18" t="str">
        <f>IF(A65="","",COUNTIF(Artistes!$G$2:$G$301,A65))</f>
        <v/>
      </c>
      <c r="K65" s="18" t="str">
        <f>IF(A65="","",COUNTIF(Œuvres!$F$2:$F$301,A65))</f>
        <v/>
      </c>
      <c r="L65" s="16"/>
    </row>
    <row r="66" spans="1:12" x14ac:dyDescent="0.25">
      <c r="A66" s="16"/>
      <c r="B66" s="16"/>
      <c r="C66" s="16"/>
      <c r="D66" s="16"/>
      <c r="E66" s="16"/>
      <c r="F66" s="16"/>
      <c r="G66" s="16"/>
      <c r="H66" s="18" t="str">
        <f t="shared" ref="H66:H129" si="1">IF(A66="","","mouvements/"&amp;A66&amp;".md")</f>
        <v/>
      </c>
      <c r="I66" s="16"/>
      <c r="J66" s="18" t="str">
        <f>IF(A66="","",COUNTIF(Artistes!$G$2:$G$301,A66))</f>
        <v/>
      </c>
      <c r="K66" s="18" t="str">
        <f>IF(A66="","",COUNTIF(Œuvres!$F$2:$F$301,A66))</f>
        <v/>
      </c>
      <c r="L66" s="16"/>
    </row>
    <row r="67" spans="1:12" x14ac:dyDescent="0.25">
      <c r="A67" s="16"/>
      <c r="B67" s="16"/>
      <c r="C67" s="16"/>
      <c r="D67" s="16"/>
      <c r="E67" s="16"/>
      <c r="F67" s="16"/>
      <c r="G67" s="16"/>
      <c r="H67" s="18" t="str">
        <f t="shared" si="1"/>
        <v/>
      </c>
      <c r="I67" s="16"/>
      <c r="J67" s="18" t="str">
        <f>IF(A67="","",COUNTIF(Artistes!$G$2:$G$301,A67))</f>
        <v/>
      </c>
      <c r="K67" s="18" t="str">
        <f>IF(A67="","",COUNTIF(Œuvres!$F$2:$F$301,A67))</f>
        <v/>
      </c>
      <c r="L67" s="16"/>
    </row>
    <row r="68" spans="1:12" x14ac:dyDescent="0.25">
      <c r="A68" s="16"/>
      <c r="B68" s="16"/>
      <c r="C68" s="16"/>
      <c r="D68" s="16"/>
      <c r="E68" s="16"/>
      <c r="F68" s="16"/>
      <c r="G68" s="16"/>
      <c r="H68" s="18" t="str">
        <f t="shared" si="1"/>
        <v/>
      </c>
      <c r="I68" s="16"/>
      <c r="J68" s="18" t="str">
        <f>IF(A68="","",COUNTIF(Artistes!$G$2:$G$301,A68))</f>
        <v/>
      </c>
      <c r="K68" s="18" t="str">
        <f>IF(A68="","",COUNTIF(Œuvres!$F$2:$F$301,A68))</f>
        <v/>
      </c>
      <c r="L68" s="16"/>
    </row>
    <row r="69" spans="1:12" x14ac:dyDescent="0.25">
      <c r="A69" s="16"/>
      <c r="B69" s="16"/>
      <c r="C69" s="16"/>
      <c r="D69" s="16"/>
      <c r="E69" s="16"/>
      <c r="F69" s="16"/>
      <c r="G69" s="16"/>
      <c r="H69" s="18" t="str">
        <f t="shared" si="1"/>
        <v/>
      </c>
      <c r="I69" s="16"/>
      <c r="J69" s="18" t="str">
        <f>IF(A69="","",COUNTIF(Artistes!$G$2:$G$301,A69))</f>
        <v/>
      </c>
      <c r="K69" s="18" t="str">
        <f>IF(A69="","",COUNTIF(Œuvres!$F$2:$F$301,A69))</f>
        <v/>
      </c>
      <c r="L69" s="16"/>
    </row>
    <row r="70" spans="1:12" x14ac:dyDescent="0.25">
      <c r="A70" s="16"/>
      <c r="B70" s="16"/>
      <c r="C70" s="16"/>
      <c r="D70" s="16"/>
      <c r="E70" s="16"/>
      <c r="F70" s="16"/>
      <c r="G70" s="16"/>
      <c r="H70" s="18" t="str">
        <f t="shared" si="1"/>
        <v/>
      </c>
      <c r="I70" s="16"/>
      <c r="J70" s="18" t="str">
        <f>IF(A70="","",COUNTIF(Artistes!$G$2:$G$301,A70))</f>
        <v/>
      </c>
      <c r="K70" s="18" t="str">
        <f>IF(A70="","",COUNTIF(Œuvres!$F$2:$F$301,A70))</f>
        <v/>
      </c>
      <c r="L70" s="16"/>
    </row>
    <row r="71" spans="1:12" x14ac:dyDescent="0.25">
      <c r="A71" s="16"/>
      <c r="B71" s="16"/>
      <c r="C71" s="16"/>
      <c r="D71" s="16"/>
      <c r="E71" s="16"/>
      <c r="F71" s="16"/>
      <c r="G71" s="16"/>
      <c r="H71" s="18" t="str">
        <f t="shared" si="1"/>
        <v/>
      </c>
      <c r="I71" s="16"/>
      <c r="J71" s="18" t="str">
        <f>IF(A71="","",COUNTIF(Artistes!$G$2:$G$301,A71))</f>
        <v/>
      </c>
      <c r="K71" s="18" t="str">
        <f>IF(A71="","",COUNTIF(Œuvres!$F$2:$F$301,A71))</f>
        <v/>
      </c>
      <c r="L71" s="16"/>
    </row>
    <row r="72" spans="1:12" x14ac:dyDescent="0.25">
      <c r="A72" s="16"/>
      <c r="B72" s="16"/>
      <c r="C72" s="16"/>
      <c r="D72" s="16"/>
      <c r="E72" s="16"/>
      <c r="F72" s="16"/>
      <c r="G72" s="16"/>
      <c r="H72" s="18" t="str">
        <f t="shared" si="1"/>
        <v/>
      </c>
      <c r="I72" s="16"/>
      <c r="J72" s="18" t="str">
        <f>IF(A72="","",COUNTIF(Artistes!$G$2:$G$301,A72))</f>
        <v/>
      </c>
      <c r="K72" s="18" t="str">
        <f>IF(A72="","",COUNTIF(Œuvres!$F$2:$F$301,A72))</f>
        <v/>
      </c>
      <c r="L72" s="16"/>
    </row>
    <row r="73" spans="1:12" x14ac:dyDescent="0.25">
      <c r="A73" s="16"/>
      <c r="B73" s="16"/>
      <c r="C73" s="16"/>
      <c r="D73" s="16"/>
      <c r="E73" s="16"/>
      <c r="F73" s="16"/>
      <c r="G73" s="16"/>
      <c r="H73" s="18" t="str">
        <f t="shared" si="1"/>
        <v/>
      </c>
      <c r="I73" s="16"/>
      <c r="J73" s="18" t="str">
        <f>IF(A73="","",COUNTIF(Artistes!$G$2:$G$301,A73))</f>
        <v/>
      </c>
      <c r="K73" s="18" t="str">
        <f>IF(A73="","",COUNTIF(Œuvres!$F$2:$F$301,A73))</f>
        <v/>
      </c>
      <c r="L73" s="16"/>
    </row>
    <row r="74" spans="1:12" x14ac:dyDescent="0.25">
      <c r="A74" s="16"/>
      <c r="B74" s="16"/>
      <c r="C74" s="16"/>
      <c r="D74" s="16"/>
      <c r="E74" s="16"/>
      <c r="F74" s="16"/>
      <c r="G74" s="16"/>
      <c r="H74" s="18" t="str">
        <f t="shared" si="1"/>
        <v/>
      </c>
      <c r="I74" s="16"/>
      <c r="J74" s="18" t="str">
        <f>IF(A74="","",COUNTIF(Artistes!$G$2:$G$301,A74))</f>
        <v/>
      </c>
      <c r="K74" s="18" t="str">
        <f>IF(A74="","",COUNTIF(Œuvres!$F$2:$F$301,A74))</f>
        <v/>
      </c>
      <c r="L74" s="16"/>
    </row>
    <row r="75" spans="1:12" x14ac:dyDescent="0.25">
      <c r="A75" s="16"/>
      <c r="B75" s="16"/>
      <c r="C75" s="16"/>
      <c r="D75" s="16"/>
      <c r="E75" s="16"/>
      <c r="F75" s="16"/>
      <c r="G75" s="16"/>
      <c r="H75" s="18" t="str">
        <f t="shared" si="1"/>
        <v/>
      </c>
      <c r="I75" s="16"/>
      <c r="J75" s="18" t="str">
        <f>IF(A75="","",COUNTIF(Artistes!$G$2:$G$301,A75))</f>
        <v/>
      </c>
      <c r="K75" s="18" t="str">
        <f>IF(A75="","",COUNTIF(Œuvres!$F$2:$F$301,A75))</f>
        <v/>
      </c>
      <c r="L75" s="16"/>
    </row>
    <row r="76" spans="1:12" x14ac:dyDescent="0.25">
      <c r="A76" s="16"/>
      <c r="B76" s="16"/>
      <c r="C76" s="16"/>
      <c r="D76" s="16"/>
      <c r="E76" s="16"/>
      <c r="F76" s="16"/>
      <c r="G76" s="16"/>
      <c r="H76" s="18" t="str">
        <f t="shared" si="1"/>
        <v/>
      </c>
      <c r="I76" s="16"/>
      <c r="J76" s="18" t="str">
        <f>IF(A76="","",COUNTIF(Artistes!$G$2:$G$301,A76))</f>
        <v/>
      </c>
      <c r="K76" s="18" t="str">
        <f>IF(A76="","",COUNTIF(Œuvres!$F$2:$F$301,A76))</f>
        <v/>
      </c>
      <c r="L76" s="16"/>
    </row>
    <row r="77" spans="1:12" x14ac:dyDescent="0.25">
      <c r="A77" s="16"/>
      <c r="B77" s="16"/>
      <c r="C77" s="16"/>
      <c r="D77" s="16"/>
      <c r="E77" s="16"/>
      <c r="F77" s="16"/>
      <c r="G77" s="16"/>
      <c r="H77" s="18" t="str">
        <f t="shared" si="1"/>
        <v/>
      </c>
      <c r="I77" s="16"/>
      <c r="J77" s="18" t="str">
        <f>IF(A77="","",COUNTIF(Artistes!$G$2:$G$301,A77))</f>
        <v/>
      </c>
      <c r="K77" s="18" t="str">
        <f>IF(A77="","",COUNTIF(Œuvres!$F$2:$F$301,A77))</f>
        <v/>
      </c>
      <c r="L77" s="16"/>
    </row>
    <row r="78" spans="1:12" x14ac:dyDescent="0.25">
      <c r="A78" s="16"/>
      <c r="B78" s="16"/>
      <c r="C78" s="16"/>
      <c r="D78" s="16"/>
      <c r="E78" s="16"/>
      <c r="F78" s="16"/>
      <c r="G78" s="16"/>
      <c r="H78" s="18" t="str">
        <f t="shared" si="1"/>
        <v/>
      </c>
      <c r="I78" s="16"/>
      <c r="J78" s="18" t="str">
        <f>IF(A78="","",COUNTIF(Artistes!$G$2:$G$301,A78))</f>
        <v/>
      </c>
      <c r="K78" s="18" t="str">
        <f>IF(A78="","",COUNTIF(Œuvres!$F$2:$F$301,A78))</f>
        <v/>
      </c>
      <c r="L78" s="16"/>
    </row>
    <row r="79" spans="1:12" x14ac:dyDescent="0.25">
      <c r="A79" s="16"/>
      <c r="B79" s="16"/>
      <c r="C79" s="16"/>
      <c r="D79" s="16"/>
      <c r="E79" s="16"/>
      <c r="F79" s="16"/>
      <c r="G79" s="16"/>
      <c r="H79" s="18" t="str">
        <f t="shared" si="1"/>
        <v/>
      </c>
      <c r="I79" s="16"/>
      <c r="J79" s="18" t="str">
        <f>IF(A79="","",COUNTIF(Artistes!$G$2:$G$301,A79))</f>
        <v/>
      </c>
      <c r="K79" s="18" t="str">
        <f>IF(A79="","",COUNTIF(Œuvres!$F$2:$F$301,A79))</f>
        <v/>
      </c>
      <c r="L79" s="16"/>
    </row>
    <row r="80" spans="1:12" x14ac:dyDescent="0.25">
      <c r="A80" s="16"/>
      <c r="B80" s="16"/>
      <c r="C80" s="16"/>
      <c r="D80" s="16"/>
      <c r="E80" s="16"/>
      <c r="F80" s="16"/>
      <c r="G80" s="16"/>
      <c r="H80" s="18" t="str">
        <f t="shared" si="1"/>
        <v/>
      </c>
      <c r="I80" s="16"/>
      <c r="J80" s="18" t="str">
        <f>IF(A80="","",COUNTIF(Artistes!$G$2:$G$301,A80))</f>
        <v/>
      </c>
      <c r="K80" s="18" t="str">
        <f>IF(A80="","",COUNTIF(Œuvres!$F$2:$F$301,A80))</f>
        <v/>
      </c>
      <c r="L80" s="16"/>
    </row>
    <row r="81" spans="1:12" x14ac:dyDescent="0.25">
      <c r="A81" s="16"/>
      <c r="B81" s="16"/>
      <c r="C81" s="16"/>
      <c r="D81" s="16"/>
      <c r="E81" s="16"/>
      <c r="F81" s="16"/>
      <c r="G81" s="16"/>
      <c r="H81" s="18" t="str">
        <f t="shared" si="1"/>
        <v/>
      </c>
      <c r="I81" s="16"/>
      <c r="J81" s="18" t="str">
        <f>IF(A81="","",COUNTIF(Artistes!$G$2:$G$301,A81))</f>
        <v/>
      </c>
      <c r="K81" s="18" t="str">
        <f>IF(A81="","",COUNTIF(Œuvres!$F$2:$F$301,A81))</f>
        <v/>
      </c>
      <c r="L81" s="16"/>
    </row>
    <row r="82" spans="1:12" x14ac:dyDescent="0.25">
      <c r="A82" s="16"/>
      <c r="B82" s="16"/>
      <c r="C82" s="16"/>
      <c r="D82" s="16"/>
      <c r="E82" s="16"/>
      <c r="F82" s="16"/>
      <c r="G82" s="16"/>
      <c r="H82" s="18" t="str">
        <f t="shared" si="1"/>
        <v/>
      </c>
      <c r="I82" s="16"/>
      <c r="J82" s="18" t="str">
        <f>IF(A82="","",COUNTIF(Artistes!$G$2:$G$301,A82))</f>
        <v/>
      </c>
      <c r="K82" s="18" t="str">
        <f>IF(A82="","",COUNTIF(Œuvres!$F$2:$F$301,A82))</f>
        <v/>
      </c>
      <c r="L82" s="16"/>
    </row>
    <row r="83" spans="1:12" x14ac:dyDescent="0.25">
      <c r="A83" s="16"/>
      <c r="B83" s="16"/>
      <c r="C83" s="16"/>
      <c r="D83" s="16"/>
      <c r="E83" s="16"/>
      <c r="F83" s="16"/>
      <c r="G83" s="16"/>
      <c r="H83" s="18" t="str">
        <f t="shared" si="1"/>
        <v/>
      </c>
      <c r="I83" s="16"/>
      <c r="J83" s="18" t="str">
        <f>IF(A83="","",COUNTIF(Artistes!$G$2:$G$301,A83))</f>
        <v/>
      </c>
      <c r="K83" s="18" t="str">
        <f>IF(A83="","",COUNTIF(Œuvres!$F$2:$F$301,A83))</f>
        <v/>
      </c>
      <c r="L83" s="16"/>
    </row>
    <row r="84" spans="1:12" x14ac:dyDescent="0.25">
      <c r="A84" s="16"/>
      <c r="B84" s="16"/>
      <c r="C84" s="16"/>
      <c r="D84" s="16"/>
      <c r="E84" s="16"/>
      <c r="F84" s="16"/>
      <c r="G84" s="16"/>
      <c r="H84" s="18" t="str">
        <f t="shared" si="1"/>
        <v/>
      </c>
      <c r="I84" s="16"/>
      <c r="J84" s="18" t="str">
        <f>IF(A84="","",COUNTIF(Artistes!$G$2:$G$301,A84))</f>
        <v/>
      </c>
      <c r="K84" s="18" t="str">
        <f>IF(A84="","",COUNTIF(Œuvres!$F$2:$F$301,A84))</f>
        <v/>
      </c>
      <c r="L84" s="16"/>
    </row>
    <row r="85" spans="1:12" x14ac:dyDescent="0.25">
      <c r="A85" s="16"/>
      <c r="B85" s="16"/>
      <c r="C85" s="16"/>
      <c r="D85" s="16"/>
      <c r="E85" s="16"/>
      <c r="F85" s="16"/>
      <c r="G85" s="16"/>
      <c r="H85" s="18" t="str">
        <f t="shared" si="1"/>
        <v/>
      </c>
      <c r="I85" s="16"/>
      <c r="J85" s="18" t="str">
        <f>IF(A85="","",COUNTIF(Artistes!$G$2:$G$301,A85))</f>
        <v/>
      </c>
      <c r="K85" s="18" t="str">
        <f>IF(A85="","",COUNTIF(Œuvres!$F$2:$F$301,A85))</f>
        <v/>
      </c>
      <c r="L85" s="16"/>
    </row>
    <row r="86" spans="1:12" x14ac:dyDescent="0.25">
      <c r="A86" s="16"/>
      <c r="B86" s="16"/>
      <c r="C86" s="16"/>
      <c r="D86" s="16"/>
      <c r="E86" s="16"/>
      <c r="F86" s="16"/>
      <c r="G86" s="16"/>
      <c r="H86" s="18" t="str">
        <f t="shared" si="1"/>
        <v/>
      </c>
      <c r="I86" s="16"/>
      <c r="J86" s="18" t="str">
        <f>IF(A86="","",COUNTIF(Artistes!$G$2:$G$301,A86))</f>
        <v/>
      </c>
      <c r="K86" s="18" t="str">
        <f>IF(A86="","",COUNTIF(Œuvres!$F$2:$F$301,A86))</f>
        <v/>
      </c>
      <c r="L86" s="16"/>
    </row>
    <row r="87" spans="1:12" x14ac:dyDescent="0.25">
      <c r="A87" s="16"/>
      <c r="B87" s="16"/>
      <c r="C87" s="16"/>
      <c r="D87" s="16"/>
      <c r="E87" s="16"/>
      <c r="F87" s="16"/>
      <c r="G87" s="16"/>
      <c r="H87" s="18" t="str">
        <f t="shared" si="1"/>
        <v/>
      </c>
      <c r="I87" s="16"/>
      <c r="J87" s="18" t="str">
        <f>IF(A87="","",COUNTIF(Artistes!$G$2:$G$301,A87))</f>
        <v/>
      </c>
      <c r="K87" s="18" t="str">
        <f>IF(A87="","",COUNTIF(Œuvres!$F$2:$F$301,A87))</f>
        <v/>
      </c>
      <c r="L87" s="16"/>
    </row>
    <row r="88" spans="1:12" x14ac:dyDescent="0.25">
      <c r="A88" s="16"/>
      <c r="B88" s="16"/>
      <c r="C88" s="16"/>
      <c r="D88" s="16"/>
      <c r="E88" s="16"/>
      <c r="F88" s="16"/>
      <c r="G88" s="16"/>
      <c r="H88" s="18" t="str">
        <f t="shared" si="1"/>
        <v/>
      </c>
      <c r="I88" s="16"/>
      <c r="J88" s="18" t="str">
        <f>IF(A88="","",COUNTIF(Artistes!$G$2:$G$301,A88))</f>
        <v/>
      </c>
      <c r="K88" s="18" t="str">
        <f>IF(A88="","",COUNTIF(Œuvres!$F$2:$F$301,A88))</f>
        <v/>
      </c>
      <c r="L88" s="16"/>
    </row>
    <row r="89" spans="1:12" x14ac:dyDescent="0.25">
      <c r="A89" s="16"/>
      <c r="B89" s="16"/>
      <c r="C89" s="16"/>
      <c r="D89" s="16"/>
      <c r="E89" s="16"/>
      <c r="F89" s="16"/>
      <c r="G89" s="16"/>
      <c r="H89" s="18" t="str">
        <f t="shared" si="1"/>
        <v/>
      </c>
      <c r="I89" s="16"/>
      <c r="J89" s="18" t="str">
        <f>IF(A89="","",COUNTIF(Artistes!$G$2:$G$301,A89))</f>
        <v/>
      </c>
      <c r="K89" s="18" t="str">
        <f>IF(A89="","",COUNTIF(Œuvres!$F$2:$F$301,A89))</f>
        <v/>
      </c>
      <c r="L89" s="16"/>
    </row>
    <row r="90" spans="1:12" x14ac:dyDescent="0.25">
      <c r="A90" s="16"/>
      <c r="B90" s="16"/>
      <c r="C90" s="16"/>
      <c r="D90" s="16"/>
      <c r="E90" s="16"/>
      <c r="F90" s="16"/>
      <c r="G90" s="16"/>
      <c r="H90" s="18" t="str">
        <f t="shared" si="1"/>
        <v/>
      </c>
      <c r="I90" s="16"/>
      <c r="J90" s="18" t="str">
        <f>IF(A90="","",COUNTIF(Artistes!$G$2:$G$301,A90))</f>
        <v/>
      </c>
      <c r="K90" s="18" t="str">
        <f>IF(A90="","",COUNTIF(Œuvres!$F$2:$F$301,A90))</f>
        <v/>
      </c>
      <c r="L90" s="16"/>
    </row>
    <row r="91" spans="1:12" x14ac:dyDescent="0.25">
      <c r="A91" s="16"/>
      <c r="B91" s="16"/>
      <c r="C91" s="16"/>
      <c r="D91" s="16"/>
      <c r="E91" s="16"/>
      <c r="F91" s="16"/>
      <c r="G91" s="16"/>
      <c r="H91" s="18" t="str">
        <f t="shared" si="1"/>
        <v/>
      </c>
      <c r="I91" s="16"/>
      <c r="J91" s="18" t="str">
        <f>IF(A91="","",COUNTIF(Artistes!$G$2:$G$301,A91))</f>
        <v/>
      </c>
      <c r="K91" s="18" t="str">
        <f>IF(A91="","",COUNTIF(Œuvres!$F$2:$F$301,A91))</f>
        <v/>
      </c>
      <c r="L91" s="16"/>
    </row>
    <row r="92" spans="1:12" x14ac:dyDescent="0.25">
      <c r="A92" s="16"/>
      <c r="B92" s="16"/>
      <c r="C92" s="16"/>
      <c r="D92" s="16"/>
      <c r="E92" s="16"/>
      <c r="F92" s="16"/>
      <c r="G92" s="16"/>
      <c r="H92" s="18" t="str">
        <f t="shared" si="1"/>
        <v/>
      </c>
      <c r="I92" s="16"/>
      <c r="J92" s="18" t="str">
        <f>IF(A92="","",COUNTIF(Artistes!$G$2:$G$301,A92))</f>
        <v/>
      </c>
      <c r="K92" s="18" t="str">
        <f>IF(A92="","",COUNTIF(Œuvres!$F$2:$F$301,A92))</f>
        <v/>
      </c>
      <c r="L92" s="16"/>
    </row>
    <row r="93" spans="1:12" x14ac:dyDescent="0.25">
      <c r="A93" s="16"/>
      <c r="B93" s="16"/>
      <c r="C93" s="16"/>
      <c r="D93" s="16"/>
      <c r="E93" s="16"/>
      <c r="F93" s="16"/>
      <c r="G93" s="16"/>
      <c r="H93" s="18" t="str">
        <f t="shared" si="1"/>
        <v/>
      </c>
      <c r="I93" s="16"/>
      <c r="J93" s="18" t="str">
        <f>IF(A93="","",COUNTIF(Artistes!$G$2:$G$301,A93))</f>
        <v/>
      </c>
      <c r="K93" s="18" t="str">
        <f>IF(A93="","",COUNTIF(Œuvres!$F$2:$F$301,A93))</f>
        <v/>
      </c>
      <c r="L93" s="16"/>
    </row>
    <row r="94" spans="1:12" x14ac:dyDescent="0.25">
      <c r="A94" s="16"/>
      <c r="B94" s="16"/>
      <c r="C94" s="16"/>
      <c r="D94" s="16"/>
      <c r="E94" s="16"/>
      <c r="F94" s="16"/>
      <c r="G94" s="16"/>
      <c r="H94" s="18" t="str">
        <f t="shared" si="1"/>
        <v/>
      </c>
      <c r="I94" s="16"/>
      <c r="J94" s="18" t="str">
        <f>IF(A94="","",COUNTIF(Artistes!$G$2:$G$301,A94))</f>
        <v/>
      </c>
      <c r="K94" s="18" t="str">
        <f>IF(A94="","",COUNTIF(Œuvres!$F$2:$F$301,A94))</f>
        <v/>
      </c>
      <c r="L94" s="16"/>
    </row>
    <row r="95" spans="1:12" x14ac:dyDescent="0.25">
      <c r="A95" s="16"/>
      <c r="B95" s="16"/>
      <c r="C95" s="16"/>
      <c r="D95" s="16"/>
      <c r="E95" s="16"/>
      <c r="F95" s="16"/>
      <c r="G95" s="16"/>
      <c r="H95" s="18" t="str">
        <f t="shared" si="1"/>
        <v/>
      </c>
      <c r="I95" s="16"/>
      <c r="J95" s="18" t="str">
        <f>IF(A95="","",COUNTIF(Artistes!$G$2:$G$301,A95))</f>
        <v/>
      </c>
      <c r="K95" s="18" t="str">
        <f>IF(A95="","",COUNTIF(Œuvres!$F$2:$F$301,A95))</f>
        <v/>
      </c>
      <c r="L95" s="16"/>
    </row>
    <row r="96" spans="1:12" x14ac:dyDescent="0.25">
      <c r="A96" s="16"/>
      <c r="B96" s="16"/>
      <c r="C96" s="16"/>
      <c r="D96" s="16"/>
      <c r="E96" s="16"/>
      <c r="F96" s="16"/>
      <c r="G96" s="16"/>
      <c r="H96" s="18" t="str">
        <f t="shared" si="1"/>
        <v/>
      </c>
      <c r="I96" s="16"/>
      <c r="J96" s="18" t="str">
        <f>IF(A96="","",COUNTIF(Artistes!$G$2:$G$301,A96))</f>
        <v/>
      </c>
      <c r="K96" s="18" t="str">
        <f>IF(A96="","",COUNTIF(Œuvres!$F$2:$F$301,A96))</f>
        <v/>
      </c>
      <c r="L96" s="16"/>
    </row>
    <row r="97" spans="1:12" x14ac:dyDescent="0.25">
      <c r="A97" s="16"/>
      <c r="B97" s="16"/>
      <c r="C97" s="16"/>
      <c r="D97" s="16"/>
      <c r="E97" s="16"/>
      <c r="F97" s="16"/>
      <c r="G97" s="16"/>
      <c r="H97" s="18" t="str">
        <f t="shared" si="1"/>
        <v/>
      </c>
      <c r="I97" s="16"/>
      <c r="J97" s="18" t="str">
        <f>IF(A97="","",COUNTIF(Artistes!$G$2:$G$301,A97))</f>
        <v/>
      </c>
      <c r="K97" s="18" t="str">
        <f>IF(A97="","",COUNTIF(Œuvres!$F$2:$F$301,A97))</f>
        <v/>
      </c>
      <c r="L97" s="16"/>
    </row>
    <row r="98" spans="1:12" x14ac:dyDescent="0.25">
      <c r="A98" s="16"/>
      <c r="B98" s="16"/>
      <c r="C98" s="16"/>
      <c r="D98" s="16"/>
      <c r="E98" s="16"/>
      <c r="F98" s="16"/>
      <c r="G98" s="16"/>
      <c r="H98" s="18" t="str">
        <f t="shared" si="1"/>
        <v/>
      </c>
      <c r="I98" s="16"/>
      <c r="J98" s="18" t="str">
        <f>IF(A98="","",COUNTIF(Artistes!$G$2:$G$301,A98))</f>
        <v/>
      </c>
      <c r="K98" s="18" t="str">
        <f>IF(A98="","",COUNTIF(Œuvres!$F$2:$F$301,A98))</f>
        <v/>
      </c>
      <c r="L98" s="16"/>
    </row>
    <row r="99" spans="1:12" x14ac:dyDescent="0.25">
      <c r="A99" s="16"/>
      <c r="B99" s="16"/>
      <c r="C99" s="16"/>
      <c r="D99" s="16"/>
      <c r="E99" s="16"/>
      <c r="F99" s="16"/>
      <c r="G99" s="16"/>
      <c r="H99" s="18" t="str">
        <f t="shared" si="1"/>
        <v/>
      </c>
      <c r="I99" s="16"/>
      <c r="J99" s="18" t="str">
        <f>IF(A99="","",COUNTIF(Artistes!$G$2:$G$301,A99))</f>
        <v/>
      </c>
      <c r="K99" s="18" t="str">
        <f>IF(A99="","",COUNTIF(Œuvres!$F$2:$F$301,A99))</f>
        <v/>
      </c>
      <c r="L99" s="16"/>
    </row>
    <row r="100" spans="1:12" x14ac:dyDescent="0.25">
      <c r="A100" s="16"/>
      <c r="B100" s="16"/>
      <c r="C100" s="16"/>
      <c r="D100" s="16"/>
      <c r="E100" s="16"/>
      <c r="F100" s="16"/>
      <c r="G100" s="16"/>
      <c r="H100" s="18" t="str">
        <f t="shared" si="1"/>
        <v/>
      </c>
      <c r="I100" s="16"/>
      <c r="J100" s="18" t="str">
        <f>IF(A100="","",COUNTIF(Artistes!$G$2:$G$301,A100))</f>
        <v/>
      </c>
      <c r="K100" s="18" t="str">
        <f>IF(A100="","",COUNTIF(Œuvres!$F$2:$F$301,A100))</f>
        <v/>
      </c>
      <c r="L100" s="16"/>
    </row>
    <row r="101" spans="1:12" x14ac:dyDescent="0.25">
      <c r="A101" s="16"/>
      <c r="B101" s="16"/>
      <c r="C101" s="16"/>
      <c r="D101" s="16"/>
      <c r="E101" s="16"/>
      <c r="F101" s="16"/>
      <c r="G101" s="16"/>
      <c r="H101" s="18" t="str">
        <f t="shared" si="1"/>
        <v/>
      </c>
      <c r="I101" s="16"/>
      <c r="J101" s="18" t="str">
        <f>IF(A101="","",COUNTIF(Artistes!$G$2:$G$301,A101))</f>
        <v/>
      </c>
      <c r="K101" s="18" t="str">
        <f>IF(A101="","",COUNTIF(Œuvres!$F$2:$F$301,A101))</f>
        <v/>
      </c>
      <c r="L101" s="16"/>
    </row>
    <row r="102" spans="1:12" x14ac:dyDescent="0.25">
      <c r="A102" s="16"/>
      <c r="B102" s="16"/>
      <c r="C102" s="16"/>
      <c r="D102" s="16"/>
      <c r="E102" s="16"/>
      <c r="F102" s="16"/>
      <c r="G102" s="16"/>
      <c r="H102" s="18" t="str">
        <f t="shared" si="1"/>
        <v/>
      </c>
      <c r="I102" s="16"/>
      <c r="J102" s="18" t="str">
        <f>IF(A102="","",COUNTIF(Artistes!$G$2:$G$301,A102))</f>
        <v/>
      </c>
      <c r="K102" s="18" t="str">
        <f>IF(A102="","",COUNTIF(Œuvres!$F$2:$F$301,A102))</f>
        <v/>
      </c>
      <c r="L102" s="16"/>
    </row>
    <row r="103" spans="1:12" x14ac:dyDescent="0.25">
      <c r="A103" s="16"/>
      <c r="B103" s="16"/>
      <c r="C103" s="16"/>
      <c r="D103" s="16"/>
      <c r="E103" s="16"/>
      <c r="F103" s="16"/>
      <c r="G103" s="16"/>
      <c r="H103" s="18" t="str">
        <f t="shared" si="1"/>
        <v/>
      </c>
      <c r="I103" s="16"/>
      <c r="J103" s="18" t="str">
        <f>IF(A103="","",COUNTIF(Artistes!$G$2:$G$301,A103))</f>
        <v/>
      </c>
      <c r="K103" s="18" t="str">
        <f>IF(A103="","",COUNTIF(Œuvres!$F$2:$F$301,A103))</f>
        <v/>
      </c>
      <c r="L103" s="16"/>
    </row>
    <row r="104" spans="1:12" x14ac:dyDescent="0.25">
      <c r="A104" s="16"/>
      <c r="B104" s="16"/>
      <c r="C104" s="16"/>
      <c r="D104" s="16"/>
      <c r="E104" s="16"/>
      <c r="F104" s="16"/>
      <c r="G104" s="16"/>
      <c r="H104" s="18" t="str">
        <f t="shared" si="1"/>
        <v/>
      </c>
      <c r="I104" s="16"/>
      <c r="J104" s="18" t="str">
        <f>IF(A104="","",COUNTIF(Artistes!$G$2:$G$301,A104))</f>
        <v/>
      </c>
      <c r="K104" s="18" t="str">
        <f>IF(A104="","",COUNTIF(Œuvres!$F$2:$F$301,A104))</f>
        <v/>
      </c>
      <c r="L104" s="16"/>
    </row>
    <row r="105" spans="1:12" x14ac:dyDescent="0.25">
      <c r="A105" s="16"/>
      <c r="B105" s="16"/>
      <c r="C105" s="16"/>
      <c r="D105" s="16"/>
      <c r="E105" s="16"/>
      <c r="F105" s="16"/>
      <c r="G105" s="16"/>
      <c r="H105" s="18" t="str">
        <f t="shared" si="1"/>
        <v/>
      </c>
      <c r="I105" s="16"/>
      <c r="J105" s="18" t="str">
        <f>IF(A105="","",COUNTIF(Artistes!$G$2:$G$301,A105))</f>
        <v/>
      </c>
      <c r="K105" s="18" t="str">
        <f>IF(A105="","",COUNTIF(Œuvres!$F$2:$F$301,A105))</f>
        <v/>
      </c>
      <c r="L105" s="16"/>
    </row>
    <row r="106" spans="1:12" x14ac:dyDescent="0.25">
      <c r="A106" s="16"/>
      <c r="B106" s="16"/>
      <c r="C106" s="16"/>
      <c r="D106" s="16"/>
      <c r="E106" s="16"/>
      <c r="F106" s="16"/>
      <c r="G106" s="16"/>
      <c r="H106" s="18" t="str">
        <f t="shared" si="1"/>
        <v/>
      </c>
      <c r="I106" s="16"/>
      <c r="J106" s="18" t="str">
        <f>IF(A106="","",COUNTIF(Artistes!$G$2:$G$301,A106))</f>
        <v/>
      </c>
      <c r="K106" s="18" t="str">
        <f>IF(A106="","",COUNTIF(Œuvres!$F$2:$F$301,A106))</f>
        <v/>
      </c>
      <c r="L106" s="16"/>
    </row>
    <row r="107" spans="1:12" x14ac:dyDescent="0.25">
      <c r="A107" s="16"/>
      <c r="B107" s="16"/>
      <c r="C107" s="16"/>
      <c r="D107" s="16"/>
      <c r="E107" s="16"/>
      <c r="F107" s="16"/>
      <c r="G107" s="16"/>
      <c r="H107" s="18" t="str">
        <f t="shared" si="1"/>
        <v/>
      </c>
      <c r="I107" s="16"/>
      <c r="J107" s="18" t="str">
        <f>IF(A107="","",COUNTIF(Artistes!$G$2:$G$301,A107))</f>
        <v/>
      </c>
      <c r="K107" s="18" t="str">
        <f>IF(A107="","",COUNTIF(Œuvres!$F$2:$F$301,A107))</f>
        <v/>
      </c>
      <c r="L107" s="16"/>
    </row>
    <row r="108" spans="1:12" x14ac:dyDescent="0.25">
      <c r="A108" s="16"/>
      <c r="B108" s="16"/>
      <c r="C108" s="16"/>
      <c r="D108" s="16"/>
      <c r="E108" s="16"/>
      <c r="F108" s="16"/>
      <c r="G108" s="16"/>
      <c r="H108" s="18" t="str">
        <f t="shared" si="1"/>
        <v/>
      </c>
      <c r="I108" s="16"/>
      <c r="J108" s="18" t="str">
        <f>IF(A108="","",COUNTIF(Artistes!$G$2:$G$301,A108))</f>
        <v/>
      </c>
      <c r="K108" s="18" t="str">
        <f>IF(A108="","",COUNTIF(Œuvres!$F$2:$F$301,A108))</f>
        <v/>
      </c>
      <c r="L108" s="16"/>
    </row>
    <row r="109" spans="1:12" x14ac:dyDescent="0.25">
      <c r="A109" s="16"/>
      <c r="B109" s="16"/>
      <c r="C109" s="16"/>
      <c r="D109" s="16"/>
      <c r="E109" s="16"/>
      <c r="F109" s="16"/>
      <c r="G109" s="16"/>
      <c r="H109" s="18" t="str">
        <f t="shared" si="1"/>
        <v/>
      </c>
      <c r="I109" s="16"/>
      <c r="J109" s="18" t="str">
        <f>IF(A109="","",COUNTIF(Artistes!$G$2:$G$301,A109))</f>
        <v/>
      </c>
      <c r="K109" s="18" t="str">
        <f>IF(A109="","",COUNTIF(Œuvres!$F$2:$F$301,A109))</f>
        <v/>
      </c>
      <c r="L109" s="16"/>
    </row>
    <row r="110" spans="1:12" x14ac:dyDescent="0.25">
      <c r="A110" s="16"/>
      <c r="B110" s="16"/>
      <c r="C110" s="16"/>
      <c r="D110" s="16"/>
      <c r="E110" s="16"/>
      <c r="F110" s="16"/>
      <c r="G110" s="16"/>
      <c r="H110" s="18" t="str">
        <f t="shared" si="1"/>
        <v/>
      </c>
      <c r="I110" s="16"/>
      <c r="J110" s="18" t="str">
        <f>IF(A110="","",COUNTIF(Artistes!$G$2:$G$301,A110))</f>
        <v/>
      </c>
      <c r="K110" s="18" t="str">
        <f>IF(A110="","",COUNTIF(Œuvres!$F$2:$F$301,A110))</f>
        <v/>
      </c>
      <c r="L110" s="16"/>
    </row>
    <row r="111" spans="1:12" x14ac:dyDescent="0.25">
      <c r="A111" s="16"/>
      <c r="B111" s="16"/>
      <c r="C111" s="16"/>
      <c r="D111" s="16"/>
      <c r="E111" s="16"/>
      <c r="F111" s="16"/>
      <c r="G111" s="16"/>
      <c r="H111" s="18" t="str">
        <f t="shared" si="1"/>
        <v/>
      </c>
      <c r="I111" s="16"/>
      <c r="J111" s="18" t="str">
        <f>IF(A111="","",COUNTIF(Artistes!$G$2:$G$301,A111))</f>
        <v/>
      </c>
      <c r="K111" s="18" t="str">
        <f>IF(A111="","",COUNTIF(Œuvres!$F$2:$F$301,A111))</f>
        <v/>
      </c>
      <c r="L111" s="16"/>
    </row>
    <row r="112" spans="1:12" x14ac:dyDescent="0.25">
      <c r="A112" s="16"/>
      <c r="B112" s="16"/>
      <c r="C112" s="16"/>
      <c r="D112" s="16"/>
      <c r="E112" s="16"/>
      <c r="F112" s="16"/>
      <c r="G112" s="16"/>
      <c r="H112" s="18" t="str">
        <f t="shared" si="1"/>
        <v/>
      </c>
      <c r="I112" s="16"/>
      <c r="J112" s="18" t="str">
        <f>IF(A112="","",COUNTIF(Artistes!$G$2:$G$301,A112))</f>
        <v/>
      </c>
      <c r="K112" s="18" t="str">
        <f>IF(A112="","",COUNTIF(Œuvres!$F$2:$F$301,A112))</f>
        <v/>
      </c>
      <c r="L112" s="16"/>
    </row>
    <row r="113" spans="1:12" x14ac:dyDescent="0.25">
      <c r="A113" s="16"/>
      <c r="B113" s="16"/>
      <c r="C113" s="16"/>
      <c r="D113" s="16"/>
      <c r="E113" s="16"/>
      <c r="F113" s="16"/>
      <c r="G113" s="16"/>
      <c r="H113" s="18" t="str">
        <f t="shared" si="1"/>
        <v/>
      </c>
      <c r="I113" s="16"/>
      <c r="J113" s="18" t="str">
        <f>IF(A113="","",COUNTIF(Artistes!$G$2:$G$301,A113))</f>
        <v/>
      </c>
      <c r="K113" s="18" t="str">
        <f>IF(A113="","",COUNTIF(Œuvres!$F$2:$F$301,A113))</f>
        <v/>
      </c>
      <c r="L113" s="16"/>
    </row>
    <row r="114" spans="1:12" x14ac:dyDescent="0.25">
      <c r="A114" s="16"/>
      <c r="B114" s="16"/>
      <c r="C114" s="16"/>
      <c r="D114" s="16"/>
      <c r="E114" s="16"/>
      <c r="F114" s="16"/>
      <c r="G114" s="16"/>
      <c r="H114" s="18" t="str">
        <f t="shared" si="1"/>
        <v/>
      </c>
      <c r="I114" s="16"/>
      <c r="J114" s="18" t="str">
        <f>IF(A114="","",COUNTIF(Artistes!$G$2:$G$301,A114))</f>
        <v/>
      </c>
      <c r="K114" s="18" t="str">
        <f>IF(A114="","",COUNTIF(Œuvres!$F$2:$F$301,A114))</f>
        <v/>
      </c>
      <c r="L114" s="16"/>
    </row>
    <row r="115" spans="1:12" x14ac:dyDescent="0.25">
      <c r="A115" s="16"/>
      <c r="B115" s="16"/>
      <c r="C115" s="16"/>
      <c r="D115" s="16"/>
      <c r="E115" s="16"/>
      <c r="F115" s="16"/>
      <c r="G115" s="16"/>
      <c r="H115" s="18" t="str">
        <f t="shared" si="1"/>
        <v/>
      </c>
      <c r="I115" s="16"/>
      <c r="J115" s="18" t="str">
        <f>IF(A115="","",COUNTIF(Artistes!$G$2:$G$301,A115))</f>
        <v/>
      </c>
      <c r="K115" s="18" t="str">
        <f>IF(A115="","",COUNTIF(Œuvres!$F$2:$F$301,A115))</f>
        <v/>
      </c>
      <c r="L115" s="16"/>
    </row>
    <row r="116" spans="1:12" x14ac:dyDescent="0.25">
      <c r="A116" s="16"/>
      <c r="B116" s="16"/>
      <c r="C116" s="16"/>
      <c r="D116" s="16"/>
      <c r="E116" s="16"/>
      <c r="F116" s="16"/>
      <c r="G116" s="16"/>
      <c r="H116" s="18" t="str">
        <f t="shared" si="1"/>
        <v/>
      </c>
      <c r="I116" s="16"/>
      <c r="J116" s="18" t="str">
        <f>IF(A116="","",COUNTIF(Artistes!$G$2:$G$301,A116))</f>
        <v/>
      </c>
      <c r="K116" s="18" t="str">
        <f>IF(A116="","",COUNTIF(Œuvres!$F$2:$F$301,A116))</f>
        <v/>
      </c>
      <c r="L116" s="16"/>
    </row>
    <row r="117" spans="1:12" x14ac:dyDescent="0.25">
      <c r="A117" s="16"/>
      <c r="B117" s="16"/>
      <c r="C117" s="16"/>
      <c r="D117" s="16"/>
      <c r="E117" s="16"/>
      <c r="F117" s="16"/>
      <c r="G117" s="16"/>
      <c r="H117" s="18" t="str">
        <f t="shared" si="1"/>
        <v/>
      </c>
      <c r="I117" s="16"/>
      <c r="J117" s="18" t="str">
        <f>IF(A117="","",COUNTIF(Artistes!$G$2:$G$301,A117))</f>
        <v/>
      </c>
      <c r="K117" s="18" t="str">
        <f>IF(A117="","",COUNTIF(Œuvres!$F$2:$F$301,A117))</f>
        <v/>
      </c>
      <c r="L117" s="16"/>
    </row>
    <row r="118" spans="1:12" x14ac:dyDescent="0.25">
      <c r="A118" s="16"/>
      <c r="B118" s="16"/>
      <c r="C118" s="16"/>
      <c r="D118" s="16"/>
      <c r="E118" s="16"/>
      <c r="F118" s="16"/>
      <c r="G118" s="16"/>
      <c r="H118" s="18" t="str">
        <f t="shared" si="1"/>
        <v/>
      </c>
      <c r="I118" s="16"/>
      <c r="J118" s="18" t="str">
        <f>IF(A118="","",COUNTIF(Artistes!$G$2:$G$301,A118))</f>
        <v/>
      </c>
      <c r="K118" s="18" t="str">
        <f>IF(A118="","",COUNTIF(Œuvres!$F$2:$F$301,A118))</f>
        <v/>
      </c>
      <c r="L118" s="16"/>
    </row>
    <row r="119" spans="1:12" x14ac:dyDescent="0.25">
      <c r="A119" s="16"/>
      <c r="B119" s="16"/>
      <c r="C119" s="16"/>
      <c r="D119" s="16"/>
      <c r="E119" s="16"/>
      <c r="F119" s="16"/>
      <c r="G119" s="16"/>
      <c r="H119" s="18" t="str">
        <f t="shared" si="1"/>
        <v/>
      </c>
      <c r="I119" s="16"/>
      <c r="J119" s="18" t="str">
        <f>IF(A119="","",COUNTIF(Artistes!$G$2:$G$301,A119))</f>
        <v/>
      </c>
      <c r="K119" s="18" t="str">
        <f>IF(A119="","",COUNTIF(Œuvres!$F$2:$F$301,A119))</f>
        <v/>
      </c>
      <c r="L119" s="16"/>
    </row>
    <row r="120" spans="1:12" x14ac:dyDescent="0.25">
      <c r="A120" s="16"/>
      <c r="B120" s="16"/>
      <c r="C120" s="16"/>
      <c r="D120" s="16"/>
      <c r="E120" s="16"/>
      <c r="F120" s="16"/>
      <c r="G120" s="16"/>
      <c r="H120" s="18" t="str">
        <f t="shared" si="1"/>
        <v/>
      </c>
      <c r="I120" s="16"/>
      <c r="J120" s="18" t="str">
        <f>IF(A120="","",COUNTIF(Artistes!$G$2:$G$301,A120))</f>
        <v/>
      </c>
      <c r="K120" s="18" t="str">
        <f>IF(A120="","",COUNTIF(Œuvres!$F$2:$F$301,A120))</f>
        <v/>
      </c>
      <c r="L120" s="16"/>
    </row>
    <row r="121" spans="1:12" x14ac:dyDescent="0.25">
      <c r="A121" s="16"/>
      <c r="B121" s="16"/>
      <c r="C121" s="16"/>
      <c r="D121" s="16"/>
      <c r="E121" s="16"/>
      <c r="F121" s="16"/>
      <c r="G121" s="16"/>
      <c r="H121" s="18" t="str">
        <f t="shared" si="1"/>
        <v/>
      </c>
      <c r="I121" s="16"/>
      <c r="J121" s="18" t="str">
        <f>IF(A121="","",COUNTIF(Artistes!$G$2:$G$301,A121))</f>
        <v/>
      </c>
      <c r="K121" s="18" t="str">
        <f>IF(A121="","",COUNTIF(Œuvres!$F$2:$F$301,A121))</f>
        <v/>
      </c>
      <c r="L121" s="16"/>
    </row>
    <row r="122" spans="1:12" x14ac:dyDescent="0.25">
      <c r="A122" s="16"/>
      <c r="B122" s="16"/>
      <c r="C122" s="16"/>
      <c r="D122" s="16"/>
      <c r="E122" s="16"/>
      <c r="F122" s="16"/>
      <c r="G122" s="16"/>
      <c r="H122" s="18" t="str">
        <f t="shared" si="1"/>
        <v/>
      </c>
      <c r="I122" s="16"/>
      <c r="J122" s="18" t="str">
        <f>IF(A122="","",COUNTIF(Artistes!$G$2:$G$301,A122))</f>
        <v/>
      </c>
      <c r="K122" s="18" t="str">
        <f>IF(A122="","",COUNTIF(Œuvres!$F$2:$F$301,A122))</f>
        <v/>
      </c>
      <c r="L122" s="16"/>
    </row>
    <row r="123" spans="1:12" x14ac:dyDescent="0.25">
      <c r="A123" s="16"/>
      <c r="B123" s="16"/>
      <c r="C123" s="16"/>
      <c r="D123" s="16"/>
      <c r="E123" s="16"/>
      <c r="F123" s="16"/>
      <c r="G123" s="16"/>
      <c r="H123" s="18" t="str">
        <f t="shared" si="1"/>
        <v/>
      </c>
      <c r="I123" s="16"/>
      <c r="J123" s="18" t="str">
        <f>IF(A123="","",COUNTIF(Artistes!$G$2:$G$301,A123))</f>
        <v/>
      </c>
      <c r="K123" s="18" t="str">
        <f>IF(A123="","",COUNTIF(Œuvres!$F$2:$F$301,A123))</f>
        <v/>
      </c>
      <c r="L123" s="16"/>
    </row>
    <row r="124" spans="1:12" x14ac:dyDescent="0.25">
      <c r="A124" s="16"/>
      <c r="B124" s="16"/>
      <c r="C124" s="16"/>
      <c r="D124" s="16"/>
      <c r="E124" s="16"/>
      <c r="F124" s="16"/>
      <c r="G124" s="16"/>
      <c r="H124" s="18" t="str">
        <f t="shared" si="1"/>
        <v/>
      </c>
      <c r="I124" s="16"/>
      <c r="J124" s="18" t="str">
        <f>IF(A124="","",COUNTIF(Artistes!$G$2:$G$301,A124))</f>
        <v/>
      </c>
      <c r="K124" s="18" t="str">
        <f>IF(A124="","",COUNTIF(Œuvres!$F$2:$F$301,A124))</f>
        <v/>
      </c>
      <c r="L124" s="16"/>
    </row>
    <row r="125" spans="1:12" x14ac:dyDescent="0.25">
      <c r="A125" s="16"/>
      <c r="B125" s="16"/>
      <c r="C125" s="16"/>
      <c r="D125" s="16"/>
      <c r="E125" s="16"/>
      <c r="F125" s="16"/>
      <c r="G125" s="16"/>
      <c r="H125" s="18" t="str">
        <f t="shared" si="1"/>
        <v/>
      </c>
      <c r="I125" s="16"/>
      <c r="J125" s="18" t="str">
        <f>IF(A125="","",COUNTIF(Artistes!$G$2:$G$301,A125))</f>
        <v/>
      </c>
      <c r="K125" s="18" t="str">
        <f>IF(A125="","",COUNTIF(Œuvres!$F$2:$F$301,A125))</f>
        <v/>
      </c>
      <c r="L125" s="16"/>
    </row>
    <row r="126" spans="1:12" x14ac:dyDescent="0.25">
      <c r="A126" s="16"/>
      <c r="B126" s="16"/>
      <c r="C126" s="16"/>
      <c r="D126" s="16"/>
      <c r="E126" s="16"/>
      <c r="F126" s="16"/>
      <c r="G126" s="16"/>
      <c r="H126" s="18" t="str">
        <f t="shared" si="1"/>
        <v/>
      </c>
      <c r="I126" s="16"/>
      <c r="J126" s="18" t="str">
        <f>IF(A126="","",COUNTIF(Artistes!$G$2:$G$301,A126))</f>
        <v/>
      </c>
      <c r="K126" s="18" t="str">
        <f>IF(A126="","",COUNTIF(Œuvres!$F$2:$F$301,A126))</f>
        <v/>
      </c>
      <c r="L126" s="16"/>
    </row>
    <row r="127" spans="1:12" x14ac:dyDescent="0.25">
      <c r="A127" s="16"/>
      <c r="B127" s="16"/>
      <c r="C127" s="16"/>
      <c r="D127" s="16"/>
      <c r="E127" s="16"/>
      <c r="F127" s="16"/>
      <c r="G127" s="16"/>
      <c r="H127" s="18" t="str">
        <f t="shared" si="1"/>
        <v/>
      </c>
      <c r="I127" s="16"/>
      <c r="J127" s="18" t="str">
        <f>IF(A127="","",COUNTIF(Artistes!$G$2:$G$301,A127))</f>
        <v/>
      </c>
      <c r="K127" s="18" t="str">
        <f>IF(A127="","",COUNTIF(Œuvres!$F$2:$F$301,A127))</f>
        <v/>
      </c>
      <c r="L127" s="16"/>
    </row>
    <row r="128" spans="1:12" x14ac:dyDescent="0.25">
      <c r="A128" s="16"/>
      <c r="B128" s="16"/>
      <c r="C128" s="16"/>
      <c r="D128" s="16"/>
      <c r="E128" s="16"/>
      <c r="F128" s="16"/>
      <c r="G128" s="16"/>
      <c r="H128" s="18" t="str">
        <f t="shared" si="1"/>
        <v/>
      </c>
      <c r="I128" s="16"/>
      <c r="J128" s="18" t="str">
        <f>IF(A128="","",COUNTIF(Artistes!$G$2:$G$301,A128))</f>
        <v/>
      </c>
      <c r="K128" s="18" t="str">
        <f>IF(A128="","",COUNTIF(Œuvres!$F$2:$F$301,A128))</f>
        <v/>
      </c>
      <c r="L128" s="16"/>
    </row>
    <row r="129" spans="1:12" x14ac:dyDescent="0.25">
      <c r="A129" s="16"/>
      <c r="B129" s="16"/>
      <c r="C129" s="16"/>
      <c r="D129" s="16"/>
      <c r="E129" s="16"/>
      <c r="F129" s="16"/>
      <c r="G129" s="16"/>
      <c r="H129" s="18" t="str">
        <f t="shared" si="1"/>
        <v/>
      </c>
      <c r="I129" s="16"/>
      <c r="J129" s="18" t="str">
        <f>IF(A129="","",COUNTIF(Artistes!$G$2:$G$301,A129))</f>
        <v/>
      </c>
      <c r="K129" s="18" t="str">
        <f>IF(A129="","",COUNTIF(Œuvres!$F$2:$F$301,A129))</f>
        <v/>
      </c>
      <c r="L129" s="16"/>
    </row>
    <row r="130" spans="1:12" x14ac:dyDescent="0.25">
      <c r="A130" s="16"/>
      <c r="B130" s="16"/>
      <c r="C130" s="16"/>
      <c r="D130" s="16"/>
      <c r="E130" s="16"/>
      <c r="F130" s="16"/>
      <c r="G130" s="16"/>
      <c r="H130" s="18" t="str">
        <f t="shared" ref="H130:H193" si="2">IF(A130="","","mouvements/"&amp;A130&amp;".md")</f>
        <v/>
      </c>
      <c r="I130" s="16"/>
      <c r="J130" s="18" t="str">
        <f>IF(A130="","",COUNTIF(Artistes!$G$2:$G$301,A130))</f>
        <v/>
      </c>
      <c r="K130" s="18" t="str">
        <f>IF(A130="","",COUNTIF(Œuvres!$F$2:$F$301,A130))</f>
        <v/>
      </c>
      <c r="L130" s="16"/>
    </row>
    <row r="131" spans="1:12" x14ac:dyDescent="0.25">
      <c r="A131" s="16"/>
      <c r="B131" s="16"/>
      <c r="C131" s="16"/>
      <c r="D131" s="16"/>
      <c r="E131" s="16"/>
      <c r="F131" s="16"/>
      <c r="G131" s="16"/>
      <c r="H131" s="18" t="str">
        <f t="shared" si="2"/>
        <v/>
      </c>
      <c r="I131" s="16"/>
      <c r="J131" s="18" t="str">
        <f>IF(A131="","",COUNTIF(Artistes!$G$2:$G$301,A131))</f>
        <v/>
      </c>
      <c r="K131" s="18" t="str">
        <f>IF(A131="","",COUNTIF(Œuvres!$F$2:$F$301,A131))</f>
        <v/>
      </c>
      <c r="L131" s="16"/>
    </row>
    <row r="132" spans="1:12" x14ac:dyDescent="0.25">
      <c r="A132" s="16"/>
      <c r="B132" s="16"/>
      <c r="C132" s="16"/>
      <c r="D132" s="16"/>
      <c r="E132" s="16"/>
      <c r="F132" s="16"/>
      <c r="G132" s="16"/>
      <c r="H132" s="18" t="str">
        <f t="shared" si="2"/>
        <v/>
      </c>
      <c r="I132" s="16"/>
      <c r="J132" s="18" t="str">
        <f>IF(A132="","",COUNTIF(Artistes!$G$2:$G$301,A132))</f>
        <v/>
      </c>
      <c r="K132" s="18" t="str">
        <f>IF(A132="","",COUNTIF(Œuvres!$F$2:$F$301,A132))</f>
        <v/>
      </c>
      <c r="L132" s="16"/>
    </row>
    <row r="133" spans="1:12" x14ac:dyDescent="0.25">
      <c r="A133" s="16"/>
      <c r="B133" s="16"/>
      <c r="C133" s="16"/>
      <c r="D133" s="16"/>
      <c r="E133" s="16"/>
      <c r="F133" s="16"/>
      <c r="G133" s="16"/>
      <c r="H133" s="18" t="str">
        <f t="shared" si="2"/>
        <v/>
      </c>
      <c r="I133" s="16"/>
      <c r="J133" s="18" t="str">
        <f>IF(A133="","",COUNTIF(Artistes!$G$2:$G$301,A133))</f>
        <v/>
      </c>
      <c r="K133" s="18" t="str">
        <f>IF(A133="","",COUNTIF(Œuvres!$F$2:$F$301,A133))</f>
        <v/>
      </c>
      <c r="L133" s="16"/>
    </row>
    <row r="134" spans="1:12" x14ac:dyDescent="0.25">
      <c r="A134" s="16"/>
      <c r="B134" s="16"/>
      <c r="C134" s="16"/>
      <c r="D134" s="16"/>
      <c r="E134" s="16"/>
      <c r="F134" s="16"/>
      <c r="G134" s="16"/>
      <c r="H134" s="18" t="str">
        <f t="shared" si="2"/>
        <v/>
      </c>
      <c r="I134" s="16"/>
      <c r="J134" s="18" t="str">
        <f>IF(A134="","",COUNTIF(Artistes!$G$2:$G$301,A134))</f>
        <v/>
      </c>
      <c r="K134" s="18" t="str">
        <f>IF(A134="","",COUNTIF(Œuvres!$F$2:$F$301,A134))</f>
        <v/>
      </c>
      <c r="L134" s="16"/>
    </row>
    <row r="135" spans="1:12" x14ac:dyDescent="0.25">
      <c r="A135" s="16"/>
      <c r="B135" s="16"/>
      <c r="C135" s="16"/>
      <c r="D135" s="16"/>
      <c r="E135" s="16"/>
      <c r="F135" s="16"/>
      <c r="G135" s="16"/>
      <c r="H135" s="18" t="str">
        <f t="shared" si="2"/>
        <v/>
      </c>
      <c r="I135" s="16"/>
      <c r="J135" s="18" t="str">
        <f>IF(A135="","",COUNTIF(Artistes!$G$2:$G$301,A135))</f>
        <v/>
      </c>
      <c r="K135" s="18" t="str">
        <f>IF(A135="","",COUNTIF(Œuvres!$F$2:$F$301,A135))</f>
        <v/>
      </c>
      <c r="L135" s="16"/>
    </row>
    <row r="136" spans="1:12" x14ac:dyDescent="0.25">
      <c r="A136" s="16"/>
      <c r="B136" s="16"/>
      <c r="C136" s="16"/>
      <c r="D136" s="16"/>
      <c r="E136" s="16"/>
      <c r="F136" s="16"/>
      <c r="G136" s="16"/>
      <c r="H136" s="18" t="str">
        <f t="shared" si="2"/>
        <v/>
      </c>
      <c r="I136" s="16"/>
      <c r="J136" s="18" t="str">
        <f>IF(A136="","",COUNTIF(Artistes!$G$2:$G$301,A136))</f>
        <v/>
      </c>
      <c r="K136" s="18" t="str">
        <f>IF(A136="","",COUNTIF(Œuvres!$F$2:$F$301,A136))</f>
        <v/>
      </c>
      <c r="L136" s="16"/>
    </row>
    <row r="137" spans="1:12" x14ac:dyDescent="0.25">
      <c r="A137" s="16"/>
      <c r="B137" s="16"/>
      <c r="C137" s="16"/>
      <c r="D137" s="16"/>
      <c r="E137" s="16"/>
      <c r="F137" s="16"/>
      <c r="G137" s="16"/>
      <c r="H137" s="18" t="str">
        <f t="shared" si="2"/>
        <v/>
      </c>
      <c r="I137" s="16"/>
      <c r="J137" s="18" t="str">
        <f>IF(A137="","",COUNTIF(Artistes!$G$2:$G$301,A137))</f>
        <v/>
      </c>
      <c r="K137" s="18" t="str">
        <f>IF(A137="","",COUNTIF(Œuvres!$F$2:$F$301,A137))</f>
        <v/>
      </c>
      <c r="L137" s="16"/>
    </row>
    <row r="138" spans="1:12" x14ac:dyDescent="0.25">
      <c r="A138" s="16"/>
      <c r="B138" s="16"/>
      <c r="C138" s="16"/>
      <c r="D138" s="16"/>
      <c r="E138" s="16"/>
      <c r="F138" s="16"/>
      <c r="G138" s="16"/>
      <c r="H138" s="18" t="str">
        <f t="shared" si="2"/>
        <v/>
      </c>
      <c r="I138" s="16"/>
      <c r="J138" s="18" t="str">
        <f>IF(A138="","",COUNTIF(Artistes!$G$2:$G$301,A138))</f>
        <v/>
      </c>
      <c r="K138" s="18" t="str">
        <f>IF(A138="","",COUNTIF(Œuvres!$F$2:$F$301,A138))</f>
        <v/>
      </c>
      <c r="L138" s="16"/>
    </row>
    <row r="139" spans="1:12" x14ac:dyDescent="0.25">
      <c r="A139" s="16"/>
      <c r="B139" s="16"/>
      <c r="C139" s="16"/>
      <c r="D139" s="16"/>
      <c r="E139" s="16"/>
      <c r="F139" s="16"/>
      <c r="G139" s="16"/>
      <c r="H139" s="18" t="str">
        <f t="shared" si="2"/>
        <v/>
      </c>
      <c r="I139" s="16"/>
      <c r="J139" s="18" t="str">
        <f>IF(A139="","",COUNTIF(Artistes!$G$2:$G$301,A139))</f>
        <v/>
      </c>
      <c r="K139" s="18" t="str">
        <f>IF(A139="","",COUNTIF(Œuvres!$F$2:$F$301,A139))</f>
        <v/>
      </c>
      <c r="L139" s="16"/>
    </row>
    <row r="140" spans="1:12" x14ac:dyDescent="0.25">
      <c r="A140" s="16"/>
      <c r="B140" s="16"/>
      <c r="C140" s="16"/>
      <c r="D140" s="16"/>
      <c r="E140" s="16"/>
      <c r="F140" s="16"/>
      <c r="G140" s="16"/>
      <c r="H140" s="18" t="str">
        <f t="shared" si="2"/>
        <v/>
      </c>
      <c r="I140" s="16"/>
      <c r="J140" s="18" t="str">
        <f>IF(A140="","",COUNTIF(Artistes!$G$2:$G$301,A140))</f>
        <v/>
      </c>
      <c r="K140" s="18" t="str">
        <f>IF(A140="","",COUNTIF(Œuvres!$F$2:$F$301,A140))</f>
        <v/>
      </c>
      <c r="L140" s="16"/>
    </row>
    <row r="141" spans="1:12" x14ac:dyDescent="0.25">
      <c r="A141" s="16"/>
      <c r="B141" s="16"/>
      <c r="C141" s="16"/>
      <c r="D141" s="16"/>
      <c r="E141" s="16"/>
      <c r="F141" s="16"/>
      <c r="G141" s="16"/>
      <c r="H141" s="18" t="str">
        <f t="shared" si="2"/>
        <v/>
      </c>
      <c r="I141" s="16"/>
      <c r="J141" s="18" t="str">
        <f>IF(A141="","",COUNTIF(Artistes!$G$2:$G$301,A141))</f>
        <v/>
      </c>
      <c r="K141" s="18" t="str">
        <f>IF(A141="","",COUNTIF(Œuvres!$F$2:$F$301,A141))</f>
        <v/>
      </c>
      <c r="L141" s="16"/>
    </row>
    <row r="142" spans="1:12" x14ac:dyDescent="0.25">
      <c r="A142" s="16"/>
      <c r="B142" s="16"/>
      <c r="C142" s="16"/>
      <c r="D142" s="16"/>
      <c r="E142" s="16"/>
      <c r="F142" s="16"/>
      <c r="G142" s="16"/>
      <c r="H142" s="18" t="str">
        <f t="shared" si="2"/>
        <v/>
      </c>
      <c r="I142" s="16"/>
      <c r="J142" s="18" t="str">
        <f>IF(A142="","",COUNTIF(Artistes!$G$2:$G$301,A142))</f>
        <v/>
      </c>
      <c r="K142" s="18" t="str">
        <f>IF(A142="","",COUNTIF(Œuvres!$F$2:$F$301,A142))</f>
        <v/>
      </c>
      <c r="L142" s="16"/>
    </row>
    <row r="143" spans="1:12" x14ac:dyDescent="0.25">
      <c r="A143" s="16"/>
      <c r="B143" s="16"/>
      <c r="C143" s="16"/>
      <c r="D143" s="16"/>
      <c r="E143" s="16"/>
      <c r="F143" s="16"/>
      <c r="G143" s="16"/>
      <c r="H143" s="18" t="str">
        <f t="shared" si="2"/>
        <v/>
      </c>
      <c r="I143" s="16"/>
      <c r="J143" s="18" t="str">
        <f>IF(A143="","",COUNTIF(Artistes!$G$2:$G$301,A143))</f>
        <v/>
      </c>
      <c r="K143" s="18" t="str">
        <f>IF(A143="","",COUNTIF(Œuvres!$F$2:$F$301,A143))</f>
        <v/>
      </c>
      <c r="L143" s="16"/>
    </row>
    <row r="144" spans="1:12" x14ac:dyDescent="0.25">
      <c r="A144" s="16"/>
      <c r="B144" s="16"/>
      <c r="C144" s="16"/>
      <c r="D144" s="16"/>
      <c r="E144" s="16"/>
      <c r="F144" s="16"/>
      <c r="G144" s="16"/>
      <c r="H144" s="18" t="str">
        <f t="shared" si="2"/>
        <v/>
      </c>
      <c r="I144" s="16"/>
      <c r="J144" s="18" t="str">
        <f>IF(A144="","",COUNTIF(Artistes!$G$2:$G$301,A144))</f>
        <v/>
      </c>
      <c r="K144" s="18" t="str">
        <f>IF(A144="","",COUNTIF(Œuvres!$F$2:$F$301,A144))</f>
        <v/>
      </c>
      <c r="L144" s="16"/>
    </row>
    <row r="145" spans="1:12" x14ac:dyDescent="0.25">
      <c r="A145" s="16"/>
      <c r="B145" s="16"/>
      <c r="C145" s="16"/>
      <c r="D145" s="16"/>
      <c r="E145" s="16"/>
      <c r="F145" s="16"/>
      <c r="G145" s="16"/>
      <c r="H145" s="18" t="str">
        <f t="shared" si="2"/>
        <v/>
      </c>
      <c r="I145" s="16"/>
      <c r="J145" s="18" t="str">
        <f>IF(A145="","",COUNTIF(Artistes!$G$2:$G$301,A145))</f>
        <v/>
      </c>
      <c r="K145" s="18" t="str">
        <f>IF(A145="","",COUNTIF(Œuvres!$F$2:$F$301,A145))</f>
        <v/>
      </c>
      <c r="L145" s="16"/>
    </row>
    <row r="146" spans="1:12" x14ac:dyDescent="0.25">
      <c r="A146" s="16"/>
      <c r="B146" s="16"/>
      <c r="C146" s="16"/>
      <c r="D146" s="16"/>
      <c r="E146" s="16"/>
      <c r="F146" s="16"/>
      <c r="G146" s="16"/>
      <c r="H146" s="18" t="str">
        <f t="shared" si="2"/>
        <v/>
      </c>
      <c r="I146" s="16"/>
      <c r="J146" s="18" t="str">
        <f>IF(A146="","",COUNTIF(Artistes!$G$2:$G$301,A146))</f>
        <v/>
      </c>
      <c r="K146" s="18" t="str">
        <f>IF(A146="","",COUNTIF(Œuvres!$F$2:$F$301,A146))</f>
        <v/>
      </c>
      <c r="L146" s="16"/>
    </row>
    <row r="147" spans="1:12" x14ac:dyDescent="0.25">
      <c r="A147" s="16"/>
      <c r="B147" s="16"/>
      <c r="C147" s="16"/>
      <c r="D147" s="16"/>
      <c r="E147" s="16"/>
      <c r="F147" s="16"/>
      <c r="G147" s="16"/>
      <c r="H147" s="18" t="str">
        <f t="shared" si="2"/>
        <v/>
      </c>
      <c r="I147" s="16"/>
      <c r="J147" s="18" t="str">
        <f>IF(A147="","",COUNTIF(Artistes!$G$2:$G$301,A147))</f>
        <v/>
      </c>
      <c r="K147" s="18" t="str">
        <f>IF(A147="","",COUNTIF(Œuvres!$F$2:$F$301,A147))</f>
        <v/>
      </c>
      <c r="L147" s="16"/>
    </row>
    <row r="148" spans="1:12" x14ac:dyDescent="0.25">
      <c r="A148" s="16"/>
      <c r="B148" s="16"/>
      <c r="C148" s="16"/>
      <c r="D148" s="16"/>
      <c r="E148" s="16"/>
      <c r="F148" s="16"/>
      <c r="G148" s="16"/>
      <c r="H148" s="18" t="str">
        <f t="shared" si="2"/>
        <v/>
      </c>
      <c r="I148" s="16"/>
      <c r="J148" s="18" t="str">
        <f>IF(A148="","",COUNTIF(Artistes!$G$2:$G$301,A148))</f>
        <v/>
      </c>
      <c r="K148" s="18" t="str">
        <f>IF(A148="","",COUNTIF(Œuvres!$F$2:$F$301,A148))</f>
        <v/>
      </c>
      <c r="L148" s="16"/>
    </row>
    <row r="149" spans="1:12" x14ac:dyDescent="0.25">
      <c r="A149" s="16"/>
      <c r="B149" s="16"/>
      <c r="C149" s="16"/>
      <c r="D149" s="16"/>
      <c r="E149" s="16"/>
      <c r="F149" s="16"/>
      <c r="G149" s="16"/>
      <c r="H149" s="18" t="str">
        <f t="shared" si="2"/>
        <v/>
      </c>
      <c r="I149" s="16"/>
      <c r="J149" s="18" t="str">
        <f>IF(A149="","",COUNTIF(Artistes!$G$2:$G$301,A149))</f>
        <v/>
      </c>
      <c r="K149" s="18" t="str">
        <f>IF(A149="","",COUNTIF(Œuvres!$F$2:$F$301,A149))</f>
        <v/>
      </c>
      <c r="L149" s="16"/>
    </row>
    <row r="150" spans="1:12" x14ac:dyDescent="0.25">
      <c r="A150" s="16"/>
      <c r="B150" s="16"/>
      <c r="C150" s="16"/>
      <c r="D150" s="16"/>
      <c r="E150" s="16"/>
      <c r="F150" s="16"/>
      <c r="G150" s="16"/>
      <c r="H150" s="18" t="str">
        <f t="shared" si="2"/>
        <v/>
      </c>
      <c r="I150" s="16"/>
      <c r="J150" s="18" t="str">
        <f>IF(A150="","",COUNTIF(Artistes!$G$2:$G$301,A150))</f>
        <v/>
      </c>
      <c r="K150" s="18" t="str">
        <f>IF(A150="","",COUNTIF(Œuvres!$F$2:$F$301,A150))</f>
        <v/>
      </c>
      <c r="L150" s="16"/>
    </row>
    <row r="151" spans="1:12" x14ac:dyDescent="0.25">
      <c r="A151" s="16"/>
      <c r="B151" s="16"/>
      <c r="C151" s="16"/>
      <c r="D151" s="16"/>
      <c r="E151" s="16"/>
      <c r="F151" s="16"/>
      <c r="G151" s="16"/>
      <c r="H151" s="18" t="str">
        <f t="shared" si="2"/>
        <v/>
      </c>
      <c r="I151" s="16"/>
      <c r="J151" s="18" t="str">
        <f>IF(A151="","",COUNTIF(Artistes!$G$2:$G$301,A151))</f>
        <v/>
      </c>
      <c r="K151" s="18" t="str">
        <f>IF(A151="","",COUNTIF(Œuvres!$F$2:$F$301,A151))</f>
        <v/>
      </c>
      <c r="L151" s="16"/>
    </row>
    <row r="152" spans="1:12" x14ac:dyDescent="0.25">
      <c r="A152" s="16"/>
      <c r="B152" s="16"/>
      <c r="C152" s="16"/>
      <c r="D152" s="16"/>
      <c r="E152" s="16"/>
      <c r="F152" s="16"/>
      <c r="G152" s="16"/>
      <c r="H152" s="18" t="str">
        <f t="shared" si="2"/>
        <v/>
      </c>
      <c r="I152" s="16"/>
      <c r="J152" s="18" t="str">
        <f>IF(A152="","",COUNTIF(Artistes!$G$2:$G$301,A152))</f>
        <v/>
      </c>
      <c r="K152" s="18" t="str">
        <f>IF(A152="","",COUNTIF(Œuvres!$F$2:$F$301,A152))</f>
        <v/>
      </c>
      <c r="L152" s="16"/>
    </row>
    <row r="153" spans="1:12" x14ac:dyDescent="0.25">
      <c r="A153" s="16"/>
      <c r="B153" s="16"/>
      <c r="C153" s="16"/>
      <c r="D153" s="16"/>
      <c r="E153" s="16"/>
      <c r="F153" s="16"/>
      <c r="G153" s="16"/>
      <c r="H153" s="18" t="str">
        <f t="shared" si="2"/>
        <v/>
      </c>
      <c r="I153" s="16"/>
      <c r="J153" s="18" t="str">
        <f>IF(A153="","",COUNTIF(Artistes!$G$2:$G$301,A153))</f>
        <v/>
      </c>
      <c r="K153" s="18" t="str">
        <f>IF(A153="","",COUNTIF(Œuvres!$F$2:$F$301,A153))</f>
        <v/>
      </c>
      <c r="L153" s="16"/>
    </row>
    <row r="154" spans="1:12" x14ac:dyDescent="0.25">
      <c r="A154" s="16"/>
      <c r="B154" s="16"/>
      <c r="C154" s="16"/>
      <c r="D154" s="16"/>
      <c r="E154" s="16"/>
      <c r="F154" s="16"/>
      <c r="G154" s="16"/>
      <c r="H154" s="18" t="str">
        <f t="shared" si="2"/>
        <v/>
      </c>
      <c r="I154" s="16"/>
      <c r="J154" s="18" t="str">
        <f>IF(A154="","",COUNTIF(Artistes!$G$2:$G$301,A154))</f>
        <v/>
      </c>
      <c r="K154" s="18" t="str">
        <f>IF(A154="","",COUNTIF(Œuvres!$F$2:$F$301,A154))</f>
        <v/>
      </c>
      <c r="L154" s="16"/>
    </row>
    <row r="155" spans="1:12" x14ac:dyDescent="0.25">
      <c r="A155" s="16"/>
      <c r="B155" s="16"/>
      <c r="C155" s="16"/>
      <c r="D155" s="16"/>
      <c r="E155" s="16"/>
      <c r="F155" s="16"/>
      <c r="G155" s="16"/>
      <c r="H155" s="18" t="str">
        <f t="shared" si="2"/>
        <v/>
      </c>
      <c r="I155" s="16"/>
      <c r="J155" s="18" t="str">
        <f>IF(A155="","",COUNTIF(Artistes!$G$2:$G$301,A155))</f>
        <v/>
      </c>
      <c r="K155" s="18" t="str">
        <f>IF(A155="","",COUNTIF(Œuvres!$F$2:$F$301,A155))</f>
        <v/>
      </c>
      <c r="L155" s="16"/>
    </row>
    <row r="156" spans="1:12" x14ac:dyDescent="0.25">
      <c r="A156" s="16"/>
      <c r="B156" s="16"/>
      <c r="C156" s="16"/>
      <c r="D156" s="16"/>
      <c r="E156" s="16"/>
      <c r="F156" s="16"/>
      <c r="G156" s="16"/>
      <c r="H156" s="18" t="str">
        <f t="shared" si="2"/>
        <v/>
      </c>
      <c r="I156" s="16"/>
      <c r="J156" s="18" t="str">
        <f>IF(A156="","",COUNTIF(Artistes!$G$2:$G$301,A156))</f>
        <v/>
      </c>
      <c r="K156" s="18" t="str">
        <f>IF(A156="","",COUNTIF(Œuvres!$F$2:$F$301,A156))</f>
        <v/>
      </c>
      <c r="L156" s="16"/>
    </row>
    <row r="157" spans="1:12" x14ac:dyDescent="0.25">
      <c r="A157" s="16"/>
      <c r="B157" s="16"/>
      <c r="C157" s="16"/>
      <c r="D157" s="16"/>
      <c r="E157" s="16"/>
      <c r="F157" s="16"/>
      <c r="G157" s="16"/>
      <c r="H157" s="18" t="str">
        <f t="shared" si="2"/>
        <v/>
      </c>
      <c r="I157" s="16"/>
      <c r="J157" s="18" t="str">
        <f>IF(A157="","",COUNTIF(Artistes!$G$2:$G$301,A157))</f>
        <v/>
      </c>
      <c r="K157" s="18" t="str">
        <f>IF(A157="","",COUNTIF(Œuvres!$F$2:$F$301,A157))</f>
        <v/>
      </c>
      <c r="L157" s="16"/>
    </row>
    <row r="158" spans="1:12" x14ac:dyDescent="0.25">
      <c r="A158" s="16"/>
      <c r="B158" s="16"/>
      <c r="C158" s="16"/>
      <c r="D158" s="16"/>
      <c r="E158" s="16"/>
      <c r="F158" s="16"/>
      <c r="G158" s="16"/>
      <c r="H158" s="18" t="str">
        <f t="shared" si="2"/>
        <v/>
      </c>
      <c r="I158" s="16"/>
      <c r="J158" s="18" t="str">
        <f>IF(A158="","",COUNTIF(Artistes!$G$2:$G$301,A158))</f>
        <v/>
      </c>
      <c r="K158" s="18" t="str">
        <f>IF(A158="","",COUNTIF(Œuvres!$F$2:$F$301,A158))</f>
        <v/>
      </c>
      <c r="L158" s="16"/>
    </row>
    <row r="159" spans="1:12" x14ac:dyDescent="0.25">
      <c r="A159" s="16"/>
      <c r="B159" s="16"/>
      <c r="C159" s="16"/>
      <c r="D159" s="16"/>
      <c r="E159" s="16"/>
      <c r="F159" s="16"/>
      <c r="G159" s="16"/>
      <c r="H159" s="18" t="str">
        <f t="shared" si="2"/>
        <v/>
      </c>
      <c r="I159" s="16"/>
      <c r="J159" s="18" t="str">
        <f>IF(A159="","",COUNTIF(Artistes!$G$2:$G$301,A159))</f>
        <v/>
      </c>
      <c r="K159" s="18" t="str">
        <f>IF(A159="","",COUNTIF(Œuvres!$F$2:$F$301,A159))</f>
        <v/>
      </c>
      <c r="L159" s="16"/>
    </row>
    <row r="160" spans="1:12" x14ac:dyDescent="0.25">
      <c r="A160" s="16"/>
      <c r="B160" s="16"/>
      <c r="C160" s="16"/>
      <c r="D160" s="16"/>
      <c r="E160" s="16"/>
      <c r="F160" s="16"/>
      <c r="G160" s="16"/>
      <c r="H160" s="18" t="str">
        <f t="shared" si="2"/>
        <v/>
      </c>
      <c r="I160" s="16"/>
      <c r="J160" s="18" t="str">
        <f>IF(A160="","",COUNTIF(Artistes!$G$2:$G$301,A160))</f>
        <v/>
      </c>
      <c r="K160" s="18" t="str">
        <f>IF(A160="","",COUNTIF(Œuvres!$F$2:$F$301,A160))</f>
        <v/>
      </c>
      <c r="L160" s="16"/>
    </row>
    <row r="161" spans="1:12" x14ac:dyDescent="0.25">
      <c r="A161" s="16"/>
      <c r="B161" s="16"/>
      <c r="C161" s="16"/>
      <c r="D161" s="16"/>
      <c r="E161" s="16"/>
      <c r="F161" s="16"/>
      <c r="G161" s="16"/>
      <c r="H161" s="18" t="str">
        <f t="shared" si="2"/>
        <v/>
      </c>
      <c r="I161" s="16"/>
      <c r="J161" s="18" t="str">
        <f>IF(A161="","",COUNTIF(Artistes!$G$2:$G$301,A161))</f>
        <v/>
      </c>
      <c r="K161" s="18" t="str">
        <f>IF(A161="","",COUNTIF(Œuvres!$F$2:$F$301,A161))</f>
        <v/>
      </c>
      <c r="L161" s="16"/>
    </row>
    <row r="162" spans="1:12" x14ac:dyDescent="0.25">
      <c r="A162" s="16"/>
      <c r="B162" s="16"/>
      <c r="C162" s="16"/>
      <c r="D162" s="16"/>
      <c r="E162" s="16"/>
      <c r="F162" s="16"/>
      <c r="G162" s="16"/>
      <c r="H162" s="18" t="str">
        <f t="shared" si="2"/>
        <v/>
      </c>
      <c r="I162" s="16"/>
      <c r="J162" s="18" t="str">
        <f>IF(A162="","",COUNTIF(Artistes!$G$2:$G$301,A162))</f>
        <v/>
      </c>
      <c r="K162" s="18" t="str">
        <f>IF(A162="","",COUNTIF(Œuvres!$F$2:$F$301,A162))</f>
        <v/>
      </c>
      <c r="L162" s="16"/>
    </row>
    <row r="163" spans="1:12" x14ac:dyDescent="0.25">
      <c r="A163" s="16"/>
      <c r="B163" s="16"/>
      <c r="C163" s="16"/>
      <c r="D163" s="16"/>
      <c r="E163" s="16"/>
      <c r="F163" s="16"/>
      <c r="G163" s="16"/>
      <c r="H163" s="18" t="str">
        <f t="shared" si="2"/>
        <v/>
      </c>
      <c r="I163" s="16"/>
      <c r="J163" s="18" t="str">
        <f>IF(A163="","",COUNTIF(Artistes!$G$2:$G$301,A163))</f>
        <v/>
      </c>
      <c r="K163" s="18" t="str">
        <f>IF(A163="","",COUNTIF(Œuvres!$F$2:$F$301,A163))</f>
        <v/>
      </c>
      <c r="L163" s="16"/>
    </row>
    <row r="164" spans="1:12" x14ac:dyDescent="0.25">
      <c r="A164" s="16"/>
      <c r="B164" s="16"/>
      <c r="C164" s="16"/>
      <c r="D164" s="16"/>
      <c r="E164" s="16"/>
      <c r="F164" s="16"/>
      <c r="G164" s="16"/>
      <c r="H164" s="18" t="str">
        <f t="shared" si="2"/>
        <v/>
      </c>
      <c r="I164" s="16"/>
      <c r="J164" s="18" t="str">
        <f>IF(A164="","",COUNTIF(Artistes!$G$2:$G$301,A164))</f>
        <v/>
      </c>
      <c r="K164" s="18" t="str">
        <f>IF(A164="","",COUNTIF(Œuvres!$F$2:$F$301,A164))</f>
        <v/>
      </c>
      <c r="L164" s="16"/>
    </row>
    <row r="165" spans="1:12" x14ac:dyDescent="0.25">
      <c r="A165" s="16"/>
      <c r="B165" s="16"/>
      <c r="C165" s="16"/>
      <c r="D165" s="16"/>
      <c r="E165" s="16"/>
      <c r="F165" s="16"/>
      <c r="G165" s="16"/>
      <c r="H165" s="18" t="str">
        <f t="shared" si="2"/>
        <v/>
      </c>
      <c r="I165" s="16"/>
      <c r="J165" s="18" t="str">
        <f>IF(A165="","",COUNTIF(Artistes!$G$2:$G$301,A165))</f>
        <v/>
      </c>
      <c r="K165" s="18" t="str">
        <f>IF(A165="","",COUNTIF(Œuvres!$F$2:$F$301,A165))</f>
        <v/>
      </c>
      <c r="L165" s="16"/>
    </row>
    <row r="166" spans="1:12" x14ac:dyDescent="0.25">
      <c r="A166" s="16"/>
      <c r="B166" s="16"/>
      <c r="C166" s="16"/>
      <c r="D166" s="16"/>
      <c r="E166" s="16"/>
      <c r="F166" s="16"/>
      <c r="G166" s="16"/>
      <c r="H166" s="18" t="str">
        <f t="shared" si="2"/>
        <v/>
      </c>
      <c r="I166" s="16"/>
      <c r="J166" s="18" t="str">
        <f>IF(A166="","",COUNTIF(Artistes!$G$2:$G$301,A166))</f>
        <v/>
      </c>
      <c r="K166" s="18" t="str">
        <f>IF(A166="","",COUNTIF(Œuvres!$F$2:$F$301,A166))</f>
        <v/>
      </c>
      <c r="L166" s="16"/>
    </row>
    <row r="167" spans="1:12" x14ac:dyDescent="0.25">
      <c r="A167" s="16"/>
      <c r="B167" s="16"/>
      <c r="C167" s="16"/>
      <c r="D167" s="16"/>
      <c r="E167" s="16"/>
      <c r="F167" s="16"/>
      <c r="G167" s="16"/>
      <c r="H167" s="18" t="str">
        <f t="shared" si="2"/>
        <v/>
      </c>
      <c r="I167" s="16"/>
      <c r="J167" s="18" t="str">
        <f>IF(A167="","",COUNTIF(Artistes!$G$2:$G$301,A167))</f>
        <v/>
      </c>
      <c r="K167" s="18" t="str">
        <f>IF(A167="","",COUNTIF(Œuvres!$F$2:$F$301,A167))</f>
        <v/>
      </c>
      <c r="L167" s="16"/>
    </row>
    <row r="168" spans="1:12" x14ac:dyDescent="0.25">
      <c r="A168" s="16"/>
      <c r="B168" s="16"/>
      <c r="C168" s="16"/>
      <c r="D168" s="16"/>
      <c r="E168" s="16"/>
      <c r="F168" s="16"/>
      <c r="G168" s="16"/>
      <c r="H168" s="18" t="str">
        <f t="shared" si="2"/>
        <v/>
      </c>
      <c r="I168" s="16"/>
      <c r="J168" s="18" t="str">
        <f>IF(A168="","",COUNTIF(Artistes!$G$2:$G$301,A168))</f>
        <v/>
      </c>
      <c r="K168" s="18" t="str">
        <f>IF(A168="","",COUNTIF(Œuvres!$F$2:$F$301,A168))</f>
        <v/>
      </c>
      <c r="L168" s="16"/>
    </row>
    <row r="169" spans="1:12" x14ac:dyDescent="0.25">
      <c r="A169" s="16"/>
      <c r="B169" s="16"/>
      <c r="C169" s="16"/>
      <c r="D169" s="16"/>
      <c r="E169" s="16"/>
      <c r="F169" s="16"/>
      <c r="G169" s="16"/>
      <c r="H169" s="18" t="str">
        <f t="shared" si="2"/>
        <v/>
      </c>
      <c r="I169" s="16"/>
      <c r="J169" s="18" t="str">
        <f>IF(A169="","",COUNTIF(Artistes!$G$2:$G$301,A169))</f>
        <v/>
      </c>
      <c r="K169" s="18" t="str">
        <f>IF(A169="","",COUNTIF(Œuvres!$F$2:$F$301,A169))</f>
        <v/>
      </c>
      <c r="L169" s="16"/>
    </row>
    <row r="170" spans="1:12" x14ac:dyDescent="0.25">
      <c r="A170" s="16"/>
      <c r="B170" s="16"/>
      <c r="C170" s="16"/>
      <c r="D170" s="16"/>
      <c r="E170" s="16"/>
      <c r="F170" s="16"/>
      <c r="G170" s="16"/>
      <c r="H170" s="18" t="str">
        <f t="shared" si="2"/>
        <v/>
      </c>
      <c r="I170" s="16"/>
      <c r="J170" s="18" t="str">
        <f>IF(A170="","",COUNTIF(Artistes!$G$2:$G$301,A170))</f>
        <v/>
      </c>
      <c r="K170" s="18" t="str">
        <f>IF(A170="","",COUNTIF(Œuvres!$F$2:$F$301,A170))</f>
        <v/>
      </c>
      <c r="L170" s="16"/>
    </row>
    <row r="171" spans="1:12" x14ac:dyDescent="0.25">
      <c r="A171" s="16"/>
      <c r="B171" s="16"/>
      <c r="C171" s="16"/>
      <c r="D171" s="16"/>
      <c r="E171" s="16"/>
      <c r="F171" s="16"/>
      <c r="G171" s="16"/>
      <c r="H171" s="18" t="str">
        <f t="shared" si="2"/>
        <v/>
      </c>
      <c r="I171" s="16"/>
      <c r="J171" s="18" t="str">
        <f>IF(A171="","",COUNTIF(Artistes!$G$2:$G$301,A171))</f>
        <v/>
      </c>
      <c r="K171" s="18" t="str">
        <f>IF(A171="","",COUNTIF(Œuvres!$F$2:$F$301,A171))</f>
        <v/>
      </c>
      <c r="L171" s="16"/>
    </row>
    <row r="172" spans="1:12" x14ac:dyDescent="0.25">
      <c r="A172" s="16"/>
      <c r="B172" s="16"/>
      <c r="C172" s="16"/>
      <c r="D172" s="16"/>
      <c r="E172" s="16"/>
      <c r="F172" s="16"/>
      <c r="G172" s="16"/>
      <c r="H172" s="18" t="str">
        <f t="shared" si="2"/>
        <v/>
      </c>
      <c r="I172" s="16"/>
      <c r="J172" s="18" t="str">
        <f>IF(A172="","",COUNTIF(Artistes!$G$2:$G$301,A172))</f>
        <v/>
      </c>
      <c r="K172" s="18" t="str">
        <f>IF(A172="","",COUNTIF(Œuvres!$F$2:$F$301,A172))</f>
        <v/>
      </c>
      <c r="L172" s="16"/>
    </row>
    <row r="173" spans="1:12" x14ac:dyDescent="0.25">
      <c r="A173" s="16"/>
      <c r="B173" s="16"/>
      <c r="C173" s="16"/>
      <c r="D173" s="16"/>
      <c r="E173" s="16"/>
      <c r="F173" s="16"/>
      <c r="G173" s="16"/>
      <c r="H173" s="18" t="str">
        <f t="shared" si="2"/>
        <v/>
      </c>
      <c r="I173" s="16"/>
      <c r="J173" s="18" t="str">
        <f>IF(A173="","",COUNTIF(Artistes!$G$2:$G$301,A173))</f>
        <v/>
      </c>
      <c r="K173" s="18" t="str">
        <f>IF(A173="","",COUNTIF(Œuvres!$F$2:$F$301,A173))</f>
        <v/>
      </c>
      <c r="L173" s="16"/>
    </row>
    <row r="174" spans="1:12" x14ac:dyDescent="0.25">
      <c r="A174" s="16"/>
      <c r="B174" s="16"/>
      <c r="C174" s="16"/>
      <c r="D174" s="16"/>
      <c r="E174" s="16"/>
      <c r="F174" s="16"/>
      <c r="G174" s="16"/>
      <c r="H174" s="18" t="str">
        <f t="shared" si="2"/>
        <v/>
      </c>
      <c r="I174" s="16"/>
      <c r="J174" s="18" t="str">
        <f>IF(A174="","",COUNTIF(Artistes!$G$2:$G$301,A174))</f>
        <v/>
      </c>
      <c r="K174" s="18" t="str">
        <f>IF(A174="","",COUNTIF(Œuvres!$F$2:$F$301,A174))</f>
        <v/>
      </c>
      <c r="L174" s="16"/>
    </row>
    <row r="175" spans="1:12" x14ac:dyDescent="0.25">
      <c r="A175" s="16"/>
      <c r="B175" s="16"/>
      <c r="C175" s="16"/>
      <c r="D175" s="16"/>
      <c r="E175" s="16"/>
      <c r="F175" s="16"/>
      <c r="G175" s="16"/>
      <c r="H175" s="18" t="str">
        <f t="shared" si="2"/>
        <v/>
      </c>
      <c r="I175" s="16"/>
      <c r="J175" s="18" t="str">
        <f>IF(A175="","",COUNTIF(Artistes!$G$2:$G$301,A175))</f>
        <v/>
      </c>
      <c r="K175" s="18" t="str">
        <f>IF(A175="","",COUNTIF(Œuvres!$F$2:$F$301,A175))</f>
        <v/>
      </c>
      <c r="L175" s="16"/>
    </row>
    <row r="176" spans="1:12" x14ac:dyDescent="0.25">
      <c r="A176" s="16"/>
      <c r="B176" s="16"/>
      <c r="C176" s="16"/>
      <c r="D176" s="16"/>
      <c r="E176" s="16"/>
      <c r="F176" s="16"/>
      <c r="G176" s="16"/>
      <c r="H176" s="18" t="str">
        <f t="shared" si="2"/>
        <v/>
      </c>
      <c r="I176" s="16"/>
      <c r="J176" s="18" t="str">
        <f>IF(A176="","",COUNTIF(Artistes!$G$2:$G$301,A176))</f>
        <v/>
      </c>
      <c r="K176" s="18" t="str">
        <f>IF(A176="","",COUNTIF(Œuvres!$F$2:$F$301,A176))</f>
        <v/>
      </c>
      <c r="L176" s="16"/>
    </row>
    <row r="177" spans="1:12" x14ac:dyDescent="0.25">
      <c r="A177" s="16"/>
      <c r="B177" s="16"/>
      <c r="C177" s="16"/>
      <c r="D177" s="16"/>
      <c r="E177" s="16"/>
      <c r="F177" s="16"/>
      <c r="G177" s="16"/>
      <c r="H177" s="18" t="str">
        <f t="shared" si="2"/>
        <v/>
      </c>
      <c r="I177" s="16"/>
      <c r="J177" s="18" t="str">
        <f>IF(A177="","",COUNTIF(Artistes!$G$2:$G$301,A177))</f>
        <v/>
      </c>
      <c r="K177" s="18" t="str">
        <f>IF(A177="","",COUNTIF(Œuvres!$F$2:$F$301,A177))</f>
        <v/>
      </c>
      <c r="L177" s="16"/>
    </row>
    <row r="178" spans="1:12" x14ac:dyDescent="0.25">
      <c r="A178" s="16"/>
      <c r="B178" s="16"/>
      <c r="C178" s="16"/>
      <c r="D178" s="16"/>
      <c r="E178" s="16"/>
      <c r="F178" s="16"/>
      <c r="G178" s="16"/>
      <c r="H178" s="18" t="str">
        <f t="shared" si="2"/>
        <v/>
      </c>
      <c r="I178" s="16"/>
      <c r="J178" s="18" t="str">
        <f>IF(A178="","",COUNTIF(Artistes!$G$2:$G$301,A178))</f>
        <v/>
      </c>
      <c r="K178" s="18" t="str">
        <f>IF(A178="","",COUNTIF(Œuvres!$F$2:$F$301,A178))</f>
        <v/>
      </c>
      <c r="L178" s="16"/>
    </row>
    <row r="179" spans="1:12" x14ac:dyDescent="0.25">
      <c r="A179" s="16"/>
      <c r="B179" s="16"/>
      <c r="C179" s="16"/>
      <c r="D179" s="16"/>
      <c r="E179" s="16"/>
      <c r="F179" s="16"/>
      <c r="G179" s="16"/>
      <c r="H179" s="18" t="str">
        <f t="shared" si="2"/>
        <v/>
      </c>
      <c r="I179" s="16"/>
      <c r="J179" s="18" t="str">
        <f>IF(A179="","",COUNTIF(Artistes!$G$2:$G$301,A179))</f>
        <v/>
      </c>
      <c r="K179" s="18" t="str">
        <f>IF(A179="","",COUNTIF(Œuvres!$F$2:$F$301,A179))</f>
        <v/>
      </c>
      <c r="L179" s="16"/>
    </row>
    <row r="180" spans="1:12" x14ac:dyDescent="0.25">
      <c r="A180" s="16"/>
      <c r="B180" s="16"/>
      <c r="C180" s="16"/>
      <c r="D180" s="16"/>
      <c r="E180" s="16"/>
      <c r="F180" s="16"/>
      <c r="G180" s="16"/>
      <c r="H180" s="18" t="str">
        <f t="shared" si="2"/>
        <v/>
      </c>
      <c r="I180" s="16"/>
      <c r="J180" s="18" t="str">
        <f>IF(A180="","",COUNTIF(Artistes!$G$2:$G$301,A180))</f>
        <v/>
      </c>
      <c r="K180" s="18" t="str">
        <f>IF(A180="","",COUNTIF(Œuvres!$F$2:$F$301,A180))</f>
        <v/>
      </c>
      <c r="L180" s="16"/>
    </row>
    <row r="181" spans="1:12" x14ac:dyDescent="0.25">
      <c r="A181" s="16"/>
      <c r="B181" s="16"/>
      <c r="C181" s="16"/>
      <c r="D181" s="16"/>
      <c r="E181" s="16"/>
      <c r="F181" s="16"/>
      <c r="G181" s="16"/>
      <c r="H181" s="18" t="str">
        <f t="shared" si="2"/>
        <v/>
      </c>
      <c r="I181" s="16"/>
      <c r="J181" s="18" t="str">
        <f>IF(A181="","",COUNTIF(Artistes!$G$2:$G$301,A181))</f>
        <v/>
      </c>
      <c r="K181" s="18" t="str">
        <f>IF(A181="","",COUNTIF(Œuvres!$F$2:$F$301,A181))</f>
        <v/>
      </c>
      <c r="L181" s="16"/>
    </row>
    <row r="182" spans="1:12" x14ac:dyDescent="0.25">
      <c r="A182" s="16"/>
      <c r="B182" s="16"/>
      <c r="C182" s="16"/>
      <c r="D182" s="16"/>
      <c r="E182" s="16"/>
      <c r="F182" s="16"/>
      <c r="G182" s="16"/>
      <c r="H182" s="18" t="str">
        <f t="shared" si="2"/>
        <v/>
      </c>
      <c r="I182" s="16"/>
      <c r="J182" s="18" t="str">
        <f>IF(A182="","",COUNTIF(Artistes!$G$2:$G$301,A182))</f>
        <v/>
      </c>
      <c r="K182" s="18" t="str">
        <f>IF(A182="","",COUNTIF(Œuvres!$F$2:$F$301,A182))</f>
        <v/>
      </c>
      <c r="L182" s="16"/>
    </row>
    <row r="183" spans="1:12" x14ac:dyDescent="0.25">
      <c r="A183" s="16"/>
      <c r="B183" s="16"/>
      <c r="C183" s="16"/>
      <c r="D183" s="16"/>
      <c r="E183" s="16"/>
      <c r="F183" s="16"/>
      <c r="G183" s="16"/>
      <c r="H183" s="18" t="str">
        <f t="shared" si="2"/>
        <v/>
      </c>
      <c r="I183" s="16"/>
      <c r="J183" s="18" t="str">
        <f>IF(A183="","",COUNTIF(Artistes!$G$2:$G$301,A183))</f>
        <v/>
      </c>
      <c r="K183" s="18" t="str">
        <f>IF(A183="","",COUNTIF(Œuvres!$F$2:$F$301,A183))</f>
        <v/>
      </c>
      <c r="L183" s="16"/>
    </row>
    <row r="184" spans="1:12" x14ac:dyDescent="0.25">
      <c r="A184" s="16"/>
      <c r="B184" s="16"/>
      <c r="C184" s="16"/>
      <c r="D184" s="16"/>
      <c r="E184" s="16"/>
      <c r="F184" s="16"/>
      <c r="G184" s="16"/>
      <c r="H184" s="18" t="str">
        <f t="shared" si="2"/>
        <v/>
      </c>
      <c r="I184" s="16"/>
      <c r="J184" s="18" t="str">
        <f>IF(A184="","",COUNTIF(Artistes!$G$2:$G$301,A184))</f>
        <v/>
      </c>
      <c r="K184" s="18" t="str">
        <f>IF(A184="","",COUNTIF(Œuvres!$F$2:$F$301,A184))</f>
        <v/>
      </c>
      <c r="L184" s="16"/>
    </row>
    <row r="185" spans="1:12" x14ac:dyDescent="0.25">
      <c r="A185" s="16"/>
      <c r="B185" s="16"/>
      <c r="C185" s="16"/>
      <c r="D185" s="16"/>
      <c r="E185" s="16"/>
      <c r="F185" s="16"/>
      <c r="G185" s="16"/>
      <c r="H185" s="18" t="str">
        <f t="shared" si="2"/>
        <v/>
      </c>
      <c r="I185" s="16"/>
      <c r="J185" s="18" t="str">
        <f>IF(A185="","",COUNTIF(Artistes!$G$2:$G$301,A185))</f>
        <v/>
      </c>
      <c r="K185" s="18" t="str">
        <f>IF(A185="","",COUNTIF(Œuvres!$F$2:$F$301,A185))</f>
        <v/>
      </c>
      <c r="L185" s="16"/>
    </row>
    <row r="186" spans="1:12" x14ac:dyDescent="0.25">
      <c r="A186" s="16"/>
      <c r="B186" s="16"/>
      <c r="C186" s="16"/>
      <c r="D186" s="16"/>
      <c r="E186" s="16"/>
      <c r="F186" s="16"/>
      <c r="G186" s="16"/>
      <c r="H186" s="18" t="str">
        <f t="shared" si="2"/>
        <v/>
      </c>
      <c r="I186" s="16"/>
      <c r="J186" s="18" t="str">
        <f>IF(A186="","",COUNTIF(Artistes!$G$2:$G$301,A186))</f>
        <v/>
      </c>
      <c r="K186" s="18" t="str">
        <f>IF(A186="","",COUNTIF(Œuvres!$F$2:$F$301,A186))</f>
        <v/>
      </c>
      <c r="L186" s="16"/>
    </row>
    <row r="187" spans="1:12" x14ac:dyDescent="0.25">
      <c r="A187" s="16"/>
      <c r="B187" s="16"/>
      <c r="C187" s="16"/>
      <c r="D187" s="16"/>
      <c r="E187" s="16"/>
      <c r="F187" s="16"/>
      <c r="G187" s="16"/>
      <c r="H187" s="18" t="str">
        <f t="shared" si="2"/>
        <v/>
      </c>
      <c r="I187" s="16"/>
      <c r="J187" s="18" t="str">
        <f>IF(A187="","",COUNTIF(Artistes!$G$2:$G$301,A187))</f>
        <v/>
      </c>
      <c r="K187" s="18" t="str">
        <f>IF(A187="","",COUNTIF(Œuvres!$F$2:$F$301,A187))</f>
        <v/>
      </c>
      <c r="L187" s="16"/>
    </row>
    <row r="188" spans="1:12" x14ac:dyDescent="0.25">
      <c r="A188" s="16"/>
      <c r="B188" s="16"/>
      <c r="C188" s="16"/>
      <c r="D188" s="16"/>
      <c r="E188" s="16"/>
      <c r="F188" s="16"/>
      <c r="G188" s="16"/>
      <c r="H188" s="18" t="str">
        <f t="shared" si="2"/>
        <v/>
      </c>
      <c r="I188" s="16"/>
      <c r="J188" s="18" t="str">
        <f>IF(A188="","",COUNTIF(Artistes!$G$2:$G$301,A188))</f>
        <v/>
      </c>
      <c r="K188" s="18" t="str">
        <f>IF(A188="","",COUNTIF(Œuvres!$F$2:$F$301,A188))</f>
        <v/>
      </c>
      <c r="L188" s="16"/>
    </row>
    <row r="189" spans="1:12" x14ac:dyDescent="0.25">
      <c r="A189" s="16"/>
      <c r="B189" s="16"/>
      <c r="C189" s="16"/>
      <c r="D189" s="16"/>
      <c r="E189" s="16"/>
      <c r="F189" s="16"/>
      <c r="G189" s="16"/>
      <c r="H189" s="18" t="str">
        <f t="shared" si="2"/>
        <v/>
      </c>
      <c r="I189" s="16"/>
      <c r="J189" s="18" t="str">
        <f>IF(A189="","",COUNTIF(Artistes!$G$2:$G$301,A189))</f>
        <v/>
      </c>
      <c r="K189" s="18" t="str">
        <f>IF(A189="","",COUNTIF(Œuvres!$F$2:$F$301,A189))</f>
        <v/>
      </c>
      <c r="L189" s="16"/>
    </row>
    <row r="190" spans="1:12" x14ac:dyDescent="0.25">
      <c r="A190" s="16"/>
      <c r="B190" s="16"/>
      <c r="C190" s="16"/>
      <c r="D190" s="16"/>
      <c r="E190" s="16"/>
      <c r="F190" s="16"/>
      <c r="G190" s="16"/>
      <c r="H190" s="18" t="str">
        <f t="shared" si="2"/>
        <v/>
      </c>
      <c r="I190" s="16"/>
      <c r="J190" s="18" t="str">
        <f>IF(A190="","",COUNTIF(Artistes!$G$2:$G$301,A190))</f>
        <v/>
      </c>
      <c r="K190" s="18" t="str">
        <f>IF(A190="","",COUNTIF(Œuvres!$F$2:$F$301,A190))</f>
        <v/>
      </c>
      <c r="L190" s="16"/>
    </row>
    <row r="191" spans="1:12" x14ac:dyDescent="0.25">
      <c r="A191" s="16"/>
      <c r="B191" s="16"/>
      <c r="C191" s="16"/>
      <c r="D191" s="16"/>
      <c r="E191" s="16"/>
      <c r="F191" s="16"/>
      <c r="G191" s="16"/>
      <c r="H191" s="18" t="str">
        <f t="shared" si="2"/>
        <v/>
      </c>
      <c r="I191" s="16"/>
      <c r="J191" s="18" t="str">
        <f>IF(A191="","",COUNTIF(Artistes!$G$2:$G$301,A191))</f>
        <v/>
      </c>
      <c r="K191" s="18" t="str">
        <f>IF(A191="","",COUNTIF(Œuvres!$F$2:$F$301,A191))</f>
        <v/>
      </c>
      <c r="L191" s="16"/>
    </row>
    <row r="192" spans="1:12" x14ac:dyDescent="0.25">
      <c r="A192" s="16"/>
      <c r="B192" s="16"/>
      <c r="C192" s="16"/>
      <c r="D192" s="16"/>
      <c r="E192" s="16"/>
      <c r="F192" s="16"/>
      <c r="G192" s="16"/>
      <c r="H192" s="18" t="str">
        <f t="shared" si="2"/>
        <v/>
      </c>
      <c r="I192" s="16"/>
      <c r="J192" s="18" t="str">
        <f>IF(A192="","",COUNTIF(Artistes!$G$2:$G$301,A192))</f>
        <v/>
      </c>
      <c r="K192" s="18" t="str">
        <f>IF(A192="","",COUNTIF(Œuvres!$F$2:$F$301,A192))</f>
        <v/>
      </c>
      <c r="L192" s="16"/>
    </row>
    <row r="193" spans="1:12" x14ac:dyDescent="0.25">
      <c r="A193" s="16"/>
      <c r="B193" s="16"/>
      <c r="C193" s="16"/>
      <c r="D193" s="16"/>
      <c r="E193" s="16"/>
      <c r="F193" s="16"/>
      <c r="G193" s="16"/>
      <c r="H193" s="18" t="str">
        <f t="shared" si="2"/>
        <v/>
      </c>
      <c r="I193" s="16"/>
      <c r="J193" s="18" t="str">
        <f>IF(A193="","",COUNTIF(Artistes!$G$2:$G$301,A193))</f>
        <v/>
      </c>
      <c r="K193" s="18" t="str">
        <f>IF(A193="","",COUNTIF(Œuvres!$F$2:$F$301,A193))</f>
        <v/>
      </c>
      <c r="L193" s="16"/>
    </row>
    <row r="194" spans="1:12" x14ac:dyDescent="0.25">
      <c r="A194" s="16"/>
      <c r="B194" s="16"/>
      <c r="C194" s="16"/>
      <c r="D194" s="16"/>
      <c r="E194" s="16"/>
      <c r="F194" s="16"/>
      <c r="G194" s="16"/>
      <c r="H194" s="18" t="str">
        <f t="shared" ref="H194:H257" si="3">IF(A194="","","mouvements/"&amp;A194&amp;".md")</f>
        <v/>
      </c>
      <c r="I194" s="16"/>
      <c r="J194" s="18" t="str">
        <f>IF(A194="","",COUNTIF(Artistes!$G$2:$G$301,A194))</f>
        <v/>
      </c>
      <c r="K194" s="18" t="str">
        <f>IF(A194="","",COUNTIF(Œuvres!$F$2:$F$301,A194))</f>
        <v/>
      </c>
      <c r="L194" s="16"/>
    </row>
    <row r="195" spans="1:12" x14ac:dyDescent="0.25">
      <c r="A195" s="16"/>
      <c r="B195" s="16"/>
      <c r="C195" s="16"/>
      <c r="D195" s="16"/>
      <c r="E195" s="16"/>
      <c r="F195" s="16"/>
      <c r="G195" s="16"/>
      <c r="H195" s="18" t="str">
        <f t="shared" si="3"/>
        <v/>
      </c>
      <c r="I195" s="16"/>
      <c r="J195" s="18" t="str">
        <f>IF(A195="","",COUNTIF(Artistes!$G$2:$G$301,A195))</f>
        <v/>
      </c>
      <c r="K195" s="18" t="str">
        <f>IF(A195="","",COUNTIF(Œuvres!$F$2:$F$301,A195))</f>
        <v/>
      </c>
      <c r="L195" s="16"/>
    </row>
    <row r="196" spans="1:12" x14ac:dyDescent="0.25">
      <c r="A196" s="16"/>
      <c r="B196" s="16"/>
      <c r="C196" s="16"/>
      <c r="D196" s="16"/>
      <c r="E196" s="16"/>
      <c r="F196" s="16"/>
      <c r="G196" s="16"/>
      <c r="H196" s="18" t="str">
        <f t="shared" si="3"/>
        <v/>
      </c>
      <c r="I196" s="16"/>
      <c r="J196" s="18" t="str">
        <f>IF(A196="","",COUNTIF(Artistes!$G$2:$G$301,A196))</f>
        <v/>
      </c>
      <c r="K196" s="18" t="str">
        <f>IF(A196="","",COUNTIF(Œuvres!$F$2:$F$301,A196))</f>
        <v/>
      </c>
      <c r="L196" s="16"/>
    </row>
    <row r="197" spans="1:12" x14ac:dyDescent="0.25">
      <c r="A197" s="16"/>
      <c r="B197" s="16"/>
      <c r="C197" s="16"/>
      <c r="D197" s="16"/>
      <c r="E197" s="16"/>
      <c r="F197" s="16"/>
      <c r="G197" s="16"/>
      <c r="H197" s="18" t="str">
        <f t="shared" si="3"/>
        <v/>
      </c>
      <c r="I197" s="16"/>
      <c r="J197" s="18" t="str">
        <f>IF(A197="","",COUNTIF(Artistes!$G$2:$G$301,A197))</f>
        <v/>
      </c>
      <c r="K197" s="18" t="str">
        <f>IF(A197="","",COUNTIF(Œuvres!$F$2:$F$301,A197))</f>
        <v/>
      </c>
      <c r="L197" s="16"/>
    </row>
    <row r="198" spans="1:12" x14ac:dyDescent="0.25">
      <c r="A198" s="16"/>
      <c r="B198" s="16"/>
      <c r="C198" s="16"/>
      <c r="D198" s="16"/>
      <c r="E198" s="16"/>
      <c r="F198" s="16"/>
      <c r="G198" s="16"/>
      <c r="H198" s="18" t="str">
        <f t="shared" si="3"/>
        <v/>
      </c>
      <c r="I198" s="16"/>
      <c r="J198" s="18" t="str">
        <f>IF(A198="","",COUNTIF(Artistes!$G$2:$G$301,A198))</f>
        <v/>
      </c>
      <c r="K198" s="18" t="str">
        <f>IF(A198="","",COUNTIF(Œuvres!$F$2:$F$301,A198))</f>
        <v/>
      </c>
      <c r="L198" s="16"/>
    </row>
    <row r="199" spans="1:12" x14ac:dyDescent="0.25">
      <c r="A199" s="16"/>
      <c r="B199" s="16"/>
      <c r="C199" s="16"/>
      <c r="D199" s="16"/>
      <c r="E199" s="16"/>
      <c r="F199" s="16"/>
      <c r="G199" s="16"/>
      <c r="H199" s="18" t="str">
        <f t="shared" si="3"/>
        <v/>
      </c>
      <c r="I199" s="16"/>
      <c r="J199" s="18" t="str">
        <f>IF(A199="","",COUNTIF(Artistes!$G$2:$G$301,A199))</f>
        <v/>
      </c>
      <c r="K199" s="18" t="str">
        <f>IF(A199="","",COUNTIF(Œuvres!$F$2:$F$301,A199))</f>
        <v/>
      </c>
      <c r="L199" s="16"/>
    </row>
    <row r="200" spans="1:12" x14ac:dyDescent="0.25">
      <c r="A200" s="16"/>
      <c r="B200" s="16"/>
      <c r="C200" s="16"/>
      <c r="D200" s="16"/>
      <c r="E200" s="16"/>
      <c r="F200" s="16"/>
      <c r="G200" s="16"/>
      <c r="H200" s="18" t="str">
        <f t="shared" si="3"/>
        <v/>
      </c>
      <c r="I200" s="16"/>
      <c r="J200" s="18" t="str">
        <f>IF(A200="","",COUNTIF(Artistes!$G$2:$G$301,A200))</f>
        <v/>
      </c>
      <c r="K200" s="18" t="str">
        <f>IF(A200="","",COUNTIF(Œuvres!$F$2:$F$301,A200))</f>
        <v/>
      </c>
      <c r="L200" s="16"/>
    </row>
    <row r="201" spans="1:12" x14ac:dyDescent="0.25">
      <c r="A201" s="16"/>
      <c r="B201" s="16"/>
      <c r="C201" s="16"/>
      <c r="D201" s="16"/>
      <c r="E201" s="16"/>
      <c r="F201" s="16"/>
      <c r="G201" s="16"/>
      <c r="H201" s="18" t="str">
        <f t="shared" si="3"/>
        <v/>
      </c>
      <c r="I201" s="16"/>
      <c r="J201" s="18" t="str">
        <f>IF(A201="","",COUNTIF(Artistes!$G$2:$G$301,A201))</f>
        <v/>
      </c>
      <c r="K201" s="18" t="str">
        <f>IF(A201="","",COUNTIF(Œuvres!$F$2:$F$301,A201))</f>
        <v/>
      </c>
      <c r="L201" s="16"/>
    </row>
    <row r="202" spans="1:12" x14ac:dyDescent="0.25">
      <c r="A202" s="16"/>
      <c r="B202" s="16"/>
      <c r="C202" s="16"/>
      <c r="D202" s="16"/>
      <c r="E202" s="16"/>
      <c r="F202" s="16"/>
      <c r="G202" s="16"/>
      <c r="H202" s="18" t="str">
        <f t="shared" si="3"/>
        <v/>
      </c>
      <c r="I202" s="16"/>
      <c r="J202" s="18" t="str">
        <f>IF(A202="","",COUNTIF(Artistes!$G$2:$G$301,A202))</f>
        <v/>
      </c>
      <c r="K202" s="18" t="str">
        <f>IF(A202="","",COUNTIF(Œuvres!$F$2:$F$301,A202))</f>
        <v/>
      </c>
      <c r="L202" s="16"/>
    </row>
    <row r="203" spans="1:12" x14ac:dyDescent="0.25">
      <c r="A203" s="16"/>
      <c r="B203" s="16"/>
      <c r="C203" s="16"/>
      <c r="D203" s="16"/>
      <c r="E203" s="16"/>
      <c r="F203" s="16"/>
      <c r="G203" s="16"/>
      <c r="H203" s="18" t="str">
        <f t="shared" si="3"/>
        <v/>
      </c>
      <c r="I203" s="16"/>
      <c r="J203" s="18" t="str">
        <f>IF(A203="","",COUNTIF(Artistes!$G$2:$G$301,A203))</f>
        <v/>
      </c>
      <c r="K203" s="18" t="str">
        <f>IF(A203="","",COUNTIF(Œuvres!$F$2:$F$301,A203))</f>
        <v/>
      </c>
      <c r="L203" s="16"/>
    </row>
    <row r="204" spans="1:12" x14ac:dyDescent="0.25">
      <c r="A204" s="16"/>
      <c r="B204" s="16"/>
      <c r="C204" s="16"/>
      <c r="D204" s="16"/>
      <c r="E204" s="16"/>
      <c r="F204" s="16"/>
      <c r="G204" s="16"/>
      <c r="H204" s="18" t="str">
        <f t="shared" si="3"/>
        <v/>
      </c>
      <c r="I204" s="16"/>
      <c r="J204" s="18" t="str">
        <f>IF(A204="","",COUNTIF(Artistes!$G$2:$G$301,A204))</f>
        <v/>
      </c>
      <c r="K204" s="18" t="str">
        <f>IF(A204="","",COUNTIF(Œuvres!$F$2:$F$301,A204))</f>
        <v/>
      </c>
      <c r="L204" s="16"/>
    </row>
    <row r="205" spans="1:12" x14ac:dyDescent="0.25">
      <c r="A205" s="16"/>
      <c r="B205" s="16"/>
      <c r="C205" s="16"/>
      <c r="D205" s="16"/>
      <c r="E205" s="16"/>
      <c r="F205" s="16"/>
      <c r="G205" s="16"/>
      <c r="H205" s="18" t="str">
        <f t="shared" si="3"/>
        <v/>
      </c>
      <c r="I205" s="16"/>
      <c r="J205" s="18" t="str">
        <f>IF(A205="","",COUNTIF(Artistes!$G$2:$G$301,A205))</f>
        <v/>
      </c>
      <c r="K205" s="18" t="str">
        <f>IF(A205="","",COUNTIF(Œuvres!$F$2:$F$301,A205))</f>
        <v/>
      </c>
      <c r="L205" s="16"/>
    </row>
    <row r="206" spans="1:12" x14ac:dyDescent="0.25">
      <c r="A206" s="16"/>
      <c r="B206" s="16"/>
      <c r="C206" s="16"/>
      <c r="D206" s="16"/>
      <c r="E206" s="16"/>
      <c r="F206" s="16"/>
      <c r="G206" s="16"/>
      <c r="H206" s="18" t="str">
        <f t="shared" si="3"/>
        <v/>
      </c>
      <c r="I206" s="16"/>
      <c r="J206" s="18" t="str">
        <f>IF(A206="","",COUNTIF(Artistes!$G$2:$G$301,A206))</f>
        <v/>
      </c>
      <c r="K206" s="18" t="str">
        <f>IF(A206="","",COUNTIF(Œuvres!$F$2:$F$301,A206))</f>
        <v/>
      </c>
      <c r="L206" s="16"/>
    </row>
    <row r="207" spans="1:12" x14ac:dyDescent="0.25">
      <c r="A207" s="16"/>
      <c r="B207" s="16"/>
      <c r="C207" s="16"/>
      <c r="D207" s="16"/>
      <c r="E207" s="16"/>
      <c r="F207" s="16"/>
      <c r="G207" s="16"/>
      <c r="H207" s="18" t="str">
        <f t="shared" si="3"/>
        <v/>
      </c>
      <c r="I207" s="16"/>
      <c r="J207" s="18" t="str">
        <f>IF(A207="","",COUNTIF(Artistes!$G$2:$G$301,A207))</f>
        <v/>
      </c>
      <c r="K207" s="18" t="str">
        <f>IF(A207="","",COUNTIF(Œuvres!$F$2:$F$301,A207))</f>
        <v/>
      </c>
      <c r="L207" s="16"/>
    </row>
    <row r="208" spans="1:12" x14ac:dyDescent="0.25">
      <c r="A208" s="16"/>
      <c r="B208" s="16"/>
      <c r="C208" s="16"/>
      <c r="D208" s="16"/>
      <c r="E208" s="16"/>
      <c r="F208" s="16"/>
      <c r="G208" s="16"/>
      <c r="H208" s="18" t="str">
        <f t="shared" si="3"/>
        <v/>
      </c>
      <c r="I208" s="16"/>
      <c r="J208" s="18" t="str">
        <f>IF(A208="","",COUNTIF(Artistes!$G$2:$G$301,A208))</f>
        <v/>
      </c>
      <c r="K208" s="18" t="str">
        <f>IF(A208="","",COUNTIF(Œuvres!$F$2:$F$301,A208))</f>
        <v/>
      </c>
      <c r="L208" s="16"/>
    </row>
    <row r="209" spans="1:12" x14ac:dyDescent="0.25">
      <c r="A209" s="16"/>
      <c r="B209" s="16"/>
      <c r="C209" s="16"/>
      <c r="D209" s="16"/>
      <c r="E209" s="16"/>
      <c r="F209" s="16"/>
      <c r="G209" s="16"/>
      <c r="H209" s="18" t="str">
        <f t="shared" si="3"/>
        <v/>
      </c>
      <c r="I209" s="16"/>
      <c r="J209" s="18" t="str">
        <f>IF(A209="","",COUNTIF(Artistes!$G$2:$G$301,A209))</f>
        <v/>
      </c>
      <c r="K209" s="18" t="str">
        <f>IF(A209="","",COUNTIF(Œuvres!$F$2:$F$301,A209))</f>
        <v/>
      </c>
      <c r="L209" s="16"/>
    </row>
    <row r="210" spans="1:12" x14ac:dyDescent="0.25">
      <c r="A210" s="16"/>
      <c r="B210" s="16"/>
      <c r="C210" s="16"/>
      <c r="D210" s="16"/>
      <c r="E210" s="16"/>
      <c r="F210" s="16"/>
      <c r="G210" s="16"/>
      <c r="H210" s="18" t="str">
        <f t="shared" si="3"/>
        <v/>
      </c>
      <c r="I210" s="16"/>
      <c r="J210" s="18" t="str">
        <f>IF(A210="","",COUNTIF(Artistes!$G$2:$G$301,A210))</f>
        <v/>
      </c>
      <c r="K210" s="18" t="str">
        <f>IF(A210="","",COUNTIF(Œuvres!$F$2:$F$301,A210))</f>
        <v/>
      </c>
      <c r="L210" s="16"/>
    </row>
    <row r="211" spans="1:12" x14ac:dyDescent="0.25">
      <c r="A211" s="16"/>
      <c r="B211" s="16"/>
      <c r="C211" s="16"/>
      <c r="D211" s="16"/>
      <c r="E211" s="16"/>
      <c r="F211" s="16"/>
      <c r="G211" s="16"/>
      <c r="H211" s="18" t="str">
        <f t="shared" si="3"/>
        <v/>
      </c>
      <c r="I211" s="16"/>
      <c r="J211" s="18" t="str">
        <f>IF(A211="","",COUNTIF(Artistes!$G$2:$G$301,A211))</f>
        <v/>
      </c>
      <c r="K211" s="18" t="str">
        <f>IF(A211="","",COUNTIF(Œuvres!$F$2:$F$301,A211))</f>
        <v/>
      </c>
      <c r="L211" s="16"/>
    </row>
    <row r="212" spans="1:12" x14ac:dyDescent="0.25">
      <c r="A212" s="16"/>
      <c r="B212" s="16"/>
      <c r="C212" s="16"/>
      <c r="D212" s="16"/>
      <c r="E212" s="16"/>
      <c r="F212" s="16"/>
      <c r="G212" s="16"/>
      <c r="H212" s="18" t="str">
        <f t="shared" si="3"/>
        <v/>
      </c>
      <c r="I212" s="16"/>
      <c r="J212" s="18" t="str">
        <f>IF(A212="","",COUNTIF(Artistes!$G$2:$G$301,A212))</f>
        <v/>
      </c>
      <c r="K212" s="18" t="str">
        <f>IF(A212="","",COUNTIF(Œuvres!$F$2:$F$301,A212))</f>
        <v/>
      </c>
      <c r="L212" s="16"/>
    </row>
    <row r="213" spans="1:12" x14ac:dyDescent="0.25">
      <c r="A213" s="16"/>
      <c r="B213" s="16"/>
      <c r="C213" s="16"/>
      <c r="D213" s="16"/>
      <c r="E213" s="16"/>
      <c r="F213" s="16"/>
      <c r="G213" s="16"/>
      <c r="H213" s="18" t="str">
        <f t="shared" si="3"/>
        <v/>
      </c>
      <c r="I213" s="16"/>
      <c r="J213" s="18" t="str">
        <f>IF(A213="","",COUNTIF(Artistes!$G$2:$G$301,A213))</f>
        <v/>
      </c>
      <c r="K213" s="18" t="str">
        <f>IF(A213="","",COUNTIF(Œuvres!$F$2:$F$301,A213))</f>
        <v/>
      </c>
      <c r="L213" s="16"/>
    </row>
    <row r="214" spans="1:12" x14ac:dyDescent="0.25">
      <c r="A214" s="16"/>
      <c r="B214" s="16"/>
      <c r="C214" s="16"/>
      <c r="D214" s="16"/>
      <c r="E214" s="16"/>
      <c r="F214" s="16"/>
      <c r="G214" s="16"/>
      <c r="H214" s="18" t="str">
        <f t="shared" si="3"/>
        <v/>
      </c>
      <c r="I214" s="16"/>
      <c r="J214" s="18" t="str">
        <f>IF(A214="","",COUNTIF(Artistes!$G$2:$G$301,A214))</f>
        <v/>
      </c>
      <c r="K214" s="18" t="str">
        <f>IF(A214="","",COUNTIF(Œuvres!$F$2:$F$301,A214))</f>
        <v/>
      </c>
      <c r="L214" s="16"/>
    </row>
    <row r="215" spans="1:12" x14ac:dyDescent="0.25">
      <c r="A215" s="16"/>
      <c r="B215" s="16"/>
      <c r="C215" s="16"/>
      <c r="D215" s="16"/>
      <c r="E215" s="16"/>
      <c r="F215" s="16"/>
      <c r="G215" s="16"/>
      <c r="H215" s="18" t="str">
        <f t="shared" si="3"/>
        <v/>
      </c>
      <c r="I215" s="16"/>
      <c r="J215" s="18" t="str">
        <f>IF(A215="","",COUNTIF(Artistes!$G$2:$G$301,A215))</f>
        <v/>
      </c>
      <c r="K215" s="18" t="str">
        <f>IF(A215="","",COUNTIF(Œuvres!$F$2:$F$301,A215))</f>
        <v/>
      </c>
      <c r="L215" s="16"/>
    </row>
    <row r="216" spans="1:12" x14ac:dyDescent="0.25">
      <c r="A216" s="16"/>
      <c r="B216" s="16"/>
      <c r="C216" s="16"/>
      <c r="D216" s="16"/>
      <c r="E216" s="16"/>
      <c r="F216" s="16"/>
      <c r="G216" s="16"/>
      <c r="H216" s="18" t="str">
        <f t="shared" si="3"/>
        <v/>
      </c>
      <c r="I216" s="16"/>
      <c r="J216" s="18" t="str">
        <f>IF(A216="","",COUNTIF(Artistes!$G$2:$G$301,A216))</f>
        <v/>
      </c>
      <c r="K216" s="18" t="str">
        <f>IF(A216="","",COUNTIF(Œuvres!$F$2:$F$301,A216))</f>
        <v/>
      </c>
      <c r="L216" s="16"/>
    </row>
    <row r="217" spans="1:12" x14ac:dyDescent="0.25">
      <c r="A217" s="16"/>
      <c r="B217" s="16"/>
      <c r="C217" s="16"/>
      <c r="D217" s="16"/>
      <c r="E217" s="16"/>
      <c r="F217" s="16"/>
      <c r="G217" s="16"/>
      <c r="H217" s="18" t="str">
        <f t="shared" si="3"/>
        <v/>
      </c>
      <c r="I217" s="16"/>
      <c r="J217" s="18" t="str">
        <f>IF(A217="","",COUNTIF(Artistes!$G$2:$G$301,A217))</f>
        <v/>
      </c>
      <c r="K217" s="18" t="str">
        <f>IF(A217="","",COUNTIF(Œuvres!$F$2:$F$301,A217))</f>
        <v/>
      </c>
      <c r="L217" s="16"/>
    </row>
    <row r="218" spans="1:12" x14ac:dyDescent="0.25">
      <c r="A218" s="16"/>
      <c r="B218" s="16"/>
      <c r="C218" s="16"/>
      <c r="D218" s="16"/>
      <c r="E218" s="16"/>
      <c r="F218" s="16"/>
      <c r="G218" s="16"/>
      <c r="H218" s="18" t="str">
        <f t="shared" si="3"/>
        <v/>
      </c>
      <c r="I218" s="16"/>
      <c r="J218" s="18" t="str">
        <f>IF(A218="","",COUNTIF(Artistes!$G$2:$G$301,A218))</f>
        <v/>
      </c>
      <c r="K218" s="18" t="str">
        <f>IF(A218="","",COUNTIF(Œuvres!$F$2:$F$301,A218))</f>
        <v/>
      </c>
      <c r="L218" s="16"/>
    </row>
    <row r="219" spans="1:12" x14ac:dyDescent="0.25">
      <c r="A219" s="16"/>
      <c r="B219" s="16"/>
      <c r="C219" s="16"/>
      <c r="D219" s="16"/>
      <c r="E219" s="16"/>
      <c r="F219" s="16"/>
      <c r="G219" s="16"/>
      <c r="H219" s="18" t="str">
        <f t="shared" si="3"/>
        <v/>
      </c>
      <c r="I219" s="16"/>
      <c r="J219" s="18" t="str">
        <f>IF(A219="","",COUNTIF(Artistes!$G$2:$G$301,A219))</f>
        <v/>
      </c>
      <c r="K219" s="18" t="str">
        <f>IF(A219="","",COUNTIF(Œuvres!$F$2:$F$301,A219))</f>
        <v/>
      </c>
      <c r="L219" s="16"/>
    </row>
    <row r="220" spans="1:12" x14ac:dyDescent="0.25">
      <c r="A220" s="16"/>
      <c r="B220" s="16"/>
      <c r="C220" s="16"/>
      <c r="D220" s="16"/>
      <c r="E220" s="16"/>
      <c r="F220" s="16"/>
      <c r="G220" s="16"/>
      <c r="H220" s="18" t="str">
        <f t="shared" si="3"/>
        <v/>
      </c>
      <c r="I220" s="16"/>
      <c r="J220" s="18" t="str">
        <f>IF(A220="","",COUNTIF(Artistes!$G$2:$G$301,A220))</f>
        <v/>
      </c>
      <c r="K220" s="18" t="str">
        <f>IF(A220="","",COUNTIF(Œuvres!$F$2:$F$301,A220))</f>
        <v/>
      </c>
      <c r="L220" s="16"/>
    </row>
    <row r="221" spans="1:12" x14ac:dyDescent="0.25">
      <c r="A221" s="16"/>
      <c r="B221" s="16"/>
      <c r="C221" s="16"/>
      <c r="D221" s="16"/>
      <c r="E221" s="16"/>
      <c r="F221" s="16"/>
      <c r="G221" s="16"/>
      <c r="H221" s="18" t="str">
        <f t="shared" si="3"/>
        <v/>
      </c>
      <c r="I221" s="16"/>
      <c r="J221" s="18" t="str">
        <f>IF(A221="","",COUNTIF(Artistes!$G$2:$G$301,A221))</f>
        <v/>
      </c>
      <c r="K221" s="18" t="str">
        <f>IF(A221="","",COUNTIF(Œuvres!$F$2:$F$301,A221))</f>
        <v/>
      </c>
      <c r="L221" s="16"/>
    </row>
    <row r="222" spans="1:12" x14ac:dyDescent="0.25">
      <c r="A222" s="16"/>
      <c r="B222" s="16"/>
      <c r="C222" s="16"/>
      <c r="D222" s="16"/>
      <c r="E222" s="16"/>
      <c r="F222" s="16"/>
      <c r="G222" s="16"/>
      <c r="H222" s="18" t="str">
        <f t="shared" si="3"/>
        <v/>
      </c>
      <c r="I222" s="16"/>
      <c r="J222" s="18" t="str">
        <f>IF(A222="","",COUNTIF(Artistes!$G$2:$G$301,A222))</f>
        <v/>
      </c>
      <c r="K222" s="18" t="str">
        <f>IF(A222="","",COUNTIF(Œuvres!$F$2:$F$301,A222))</f>
        <v/>
      </c>
      <c r="L222" s="16"/>
    </row>
    <row r="223" spans="1:12" x14ac:dyDescent="0.25">
      <c r="A223" s="16"/>
      <c r="B223" s="16"/>
      <c r="C223" s="16"/>
      <c r="D223" s="16"/>
      <c r="E223" s="16"/>
      <c r="F223" s="16"/>
      <c r="G223" s="16"/>
      <c r="H223" s="18" t="str">
        <f t="shared" si="3"/>
        <v/>
      </c>
      <c r="I223" s="16"/>
      <c r="J223" s="18" t="str">
        <f>IF(A223="","",COUNTIF(Artistes!$G$2:$G$301,A223))</f>
        <v/>
      </c>
      <c r="K223" s="18" t="str">
        <f>IF(A223="","",COUNTIF(Œuvres!$F$2:$F$301,A223))</f>
        <v/>
      </c>
      <c r="L223" s="16"/>
    </row>
    <row r="224" spans="1:12" x14ac:dyDescent="0.25">
      <c r="A224" s="16"/>
      <c r="B224" s="16"/>
      <c r="C224" s="16"/>
      <c r="D224" s="16"/>
      <c r="E224" s="16"/>
      <c r="F224" s="16"/>
      <c r="G224" s="16"/>
      <c r="H224" s="18" t="str">
        <f t="shared" si="3"/>
        <v/>
      </c>
      <c r="I224" s="16"/>
      <c r="J224" s="18" t="str">
        <f>IF(A224="","",COUNTIF(Artistes!$G$2:$G$301,A224))</f>
        <v/>
      </c>
      <c r="K224" s="18" t="str">
        <f>IF(A224="","",COUNTIF(Œuvres!$F$2:$F$301,A224))</f>
        <v/>
      </c>
      <c r="L224" s="16"/>
    </row>
    <row r="225" spans="1:12" x14ac:dyDescent="0.25">
      <c r="A225" s="16"/>
      <c r="B225" s="16"/>
      <c r="C225" s="16"/>
      <c r="D225" s="16"/>
      <c r="E225" s="16"/>
      <c r="F225" s="16"/>
      <c r="G225" s="16"/>
      <c r="H225" s="18" t="str">
        <f t="shared" si="3"/>
        <v/>
      </c>
      <c r="I225" s="16"/>
      <c r="J225" s="18" t="str">
        <f>IF(A225="","",COUNTIF(Artistes!$G$2:$G$301,A225))</f>
        <v/>
      </c>
      <c r="K225" s="18" t="str">
        <f>IF(A225="","",COUNTIF(Œuvres!$F$2:$F$301,A225))</f>
        <v/>
      </c>
      <c r="L225" s="16"/>
    </row>
    <row r="226" spans="1:12" x14ac:dyDescent="0.25">
      <c r="A226" s="16"/>
      <c r="B226" s="16"/>
      <c r="C226" s="16"/>
      <c r="D226" s="16"/>
      <c r="E226" s="16"/>
      <c r="F226" s="16"/>
      <c r="G226" s="16"/>
      <c r="H226" s="18" t="str">
        <f t="shared" si="3"/>
        <v/>
      </c>
      <c r="I226" s="16"/>
      <c r="J226" s="18" t="str">
        <f>IF(A226="","",COUNTIF(Artistes!$G$2:$G$301,A226))</f>
        <v/>
      </c>
      <c r="K226" s="18" t="str">
        <f>IF(A226="","",COUNTIF(Œuvres!$F$2:$F$301,A226))</f>
        <v/>
      </c>
      <c r="L226" s="16"/>
    </row>
    <row r="227" spans="1:12" x14ac:dyDescent="0.25">
      <c r="A227" s="16"/>
      <c r="B227" s="16"/>
      <c r="C227" s="16"/>
      <c r="D227" s="16"/>
      <c r="E227" s="16"/>
      <c r="F227" s="16"/>
      <c r="G227" s="16"/>
      <c r="H227" s="18" t="str">
        <f t="shared" si="3"/>
        <v/>
      </c>
      <c r="I227" s="16"/>
      <c r="J227" s="18" t="str">
        <f>IF(A227="","",COUNTIF(Artistes!$G$2:$G$301,A227))</f>
        <v/>
      </c>
      <c r="K227" s="18" t="str">
        <f>IF(A227="","",COUNTIF(Œuvres!$F$2:$F$301,A227))</f>
        <v/>
      </c>
      <c r="L227" s="16"/>
    </row>
    <row r="228" spans="1:12" x14ac:dyDescent="0.25">
      <c r="A228" s="16"/>
      <c r="B228" s="16"/>
      <c r="C228" s="16"/>
      <c r="D228" s="16"/>
      <c r="E228" s="16"/>
      <c r="F228" s="16"/>
      <c r="G228" s="16"/>
      <c r="H228" s="18" t="str">
        <f t="shared" si="3"/>
        <v/>
      </c>
      <c r="I228" s="16"/>
      <c r="J228" s="18" t="str">
        <f>IF(A228="","",COUNTIF(Artistes!$G$2:$G$301,A228))</f>
        <v/>
      </c>
      <c r="K228" s="18" t="str">
        <f>IF(A228="","",COUNTIF(Œuvres!$F$2:$F$301,A228))</f>
        <v/>
      </c>
      <c r="L228" s="16"/>
    </row>
    <row r="229" spans="1:12" x14ac:dyDescent="0.25">
      <c r="A229" s="16"/>
      <c r="B229" s="16"/>
      <c r="C229" s="16"/>
      <c r="D229" s="16"/>
      <c r="E229" s="16"/>
      <c r="F229" s="16"/>
      <c r="G229" s="16"/>
      <c r="H229" s="18" t="str">
        <f t="shared" si="3"/>
        <v/>
      </c>
      <c r="I229" s="16"/>
      <c r="J229" s="18" t="str">
        <f>IF(A229="","",COUNTIF(Artistes!$G$2:$G$301,A229))</f>
        <v/>
      </c>
      <c r="K229" s="18" t="str">
        <f>IF(A229="","",COUNTIF(Œuvres!$F$2:$F$301,A229))</f>
        <v/>
      </c>
      <c r="L229" s="16"/>
    </row>
    <row r="230" spans="1:12" x14ac:dyDescent="0.25">
      <c r="A230" s="16"/>
      <c r="B230" s="16"/>
      <c r="C230" s="16"/>
      <c r="D230" s="16"/>
      <c r="E230" s="16"/>
      <c r="F230" s="16"/>
      <c r="G230" s="16"/>
      <c r="H230" s="18" t="str">
        <f t="shared" si="3"/>
        <v/>
      </c>
      <c r="I230" s="16"/>
      <c r="J230" s="18" t="str">
        <f>IF(A230="","",COUNTIF(Artistes!$G$2:$G$301,A230))</f>
        <v/>
      </c>
      <c r="K230" s="18" t="str">
        <f>IF(A230="","",COUNTIF(Œuvres!$F$2:$F$301,A230))</f>
        <v/>
      </c>
      <c r="L230" s="16"/>
    </row>
    <row r="231" spans="1:12" x14ac:dyDescent="0.25">
      <c r="A231" s="16"/>
      <c r="B231" s="16"/>
      <c r="C231" s="16"/>
      <c r="D231" s="16"/>
      <c r="E231" s="16"/>
      <c r="F231" s="16"/>
      <c r="G231" s="16"/>
      <c r="H231" s="18" t="str">
        <f t="shared" si="3"/>
        <v/>
      </c>
      <c r="I231" s="16"/>
      <c r="J231" s="18" t="str">
        <f>IF(A231="","",COUNTIF(Artistes!$G$2:$G$301,A231))</f>
        <v/>
      </c>
      <c r="K231" s="18" t="str">
        <f>IF(A231="","",COUNTIF(Œuvres!$F$2:$F$301,A231))</f>
        <v/>
      </c>
      <c r="L231" s="16"/>
    </row>
    <row r="232" spans="1:12" x14ac:dyDescent="0.25">
      <c r="A232" s="16"/>
      <c r="B232" s="16"/>
      <c r="C232" s="16"/>
      <c r="D232" s="16"/>
      <c r="E232" s="16"/>
      <c r="F232" s="16"/>
      <c r="G232" s="16"/>
      <c r="H232" s="18" t="str">
        <f t="shared" si="3"/>
        <v/>
      </c>
      <c r="I232" s="16"/>
      <c r="J232" s="18" t="str">
        <f>IF(A232="","",COUNTIF(Artistes!$G$2:$G$301,A232))</f>
        <v/>
      </c>
      <c r="K232" s="18" t="str">
        <f>IF(A232="","",COUNTIF(Œuvres!$F$2:$F$301,A232))</f>
        <v/>
      </c>
      <c r="L232" s="16"/>
    </row>
    <row r="233" spans="1:12" x14ac:dyDescent="0.25">
      <c r="A233" s="16"/>
      <c r="B233" s="16"/>
      <c r="C233" s="16"/>
      <c r="D233" s="16"/>
      <c r="E233" s="16"/>
      <c r="F233" s="16"/>
      <c r="G233" s="16"/>
      <c r="H233" s="18" t="str">
        <f t="shared" si="3"/>
        <v/>
      </c>
      <c r="I233" s="16"/>
      <c r="J233" s="18" t="str">
        <f>IF(A233="","",COUNTIF(Artistes!$G$2:$G$301,A233))</f>
        <v/>
      </c>
      <c r="K233" s="18" t="str">
        <f>IF(A233="","",COUNTIF(Œuvres!$F$2:$F$301,A233))</f>
        <v/>
      </c>
      <c r="L233" s="16"/>
    </row>
    <row r="234" spans="1:12" x14ac:dyDescent="0.25">
      <c r="A234" s="16"/>
      <c r="B234" s="16"/>
      <c r="C234" s="16"/>
      <c r="D234" s="16"/>
      <c r="E234" s="16"/>
      <c r="F234" s="16"/>
      <c r="G234" s="16"/>
      <c r="H234" s="18" t="str">
        <f t="shared" si="3"/>
        <v/>
      </c>
      <c r="I234" s="16"/>
      <c r="J234" s="18" t="str">
        <f>IF(A234="","",COUNTIF(Artistes!$G$2:$G$301,A234))</f>
        <v/>
      </c>
      <c r="K234" s="18" t="str">
        <f>IF(A234="","",COUNTIF(Œuvres!$F$2:$F$301,A234))</f>
        <v/>
      </c>
      <c r="L234" s="16"/>
    </row>
    <row r="235" spans="1:12" x14ac:dyDescent="0.25">
      <c r="A235" s="16"/>
      <c r="B235" s="16"/>
      <c r="C235" s="16"/>
      <c r="D235" s="16"/>
      <c r="E235" s="16"/>
      <c r="F235" s="16"/>
      <c r="G235" s="16"/>
      <c r="H235" s="18" t="str">
        <f t="shared" si="3"/>
        <v/>
      </c>
      <c r="I235" s="16"/>
      <c r="J235" s="18" t="str">
        <f>IF(A235="","",COUNTIF(Artistes!$G$2:$G$301,A235))</f>
        <v/>
      </c>
      <c r="K235" s="18" t="str">
        <f>IF(A235="","",COUNTIF(Œuvres!$F$2:$F$301,A235))</f>
        <v/>
      </c>
      <c r="L235" s="16"/>
    </row>
    <row r="236" spans="1:12" x14ac:dyDescent="0.25">
      <c r="A236" s="16"/>
      <c r="B236" s="16"/>
      <c r="C236" s="16"/>
      <c r="D236" s="16"/>
      <c r="E236" s="16"/>
      <c r="F236" s="16"/>
      <c r="G236" s="16"/>
      <c r="H236" s="18" t="str">
        <f t="shared" si="3"/>
        <v/>
      </c>
      <c r="I236" s="16"/>
      <c r="J236" s="18" t="str">
        <f>IF(A236="","",COUNTIF(Artistes!$G$2:$G$301,A236))</f>
        <v/>
      </c>
      <c r="K236" s="18" t="str">
        <f>IF(A236="","",COUNTIF(Œuvres!$F$2:$F$301,A236))</f>
        <v/>
      </c>
      <c r="L236" s="16"/>
    </row>
    <row r="237" spans="1:12" x14ac:dyDescent="0.25">
      <c r="A237" s="16"/>
      <c r="B237" s="16"/>
      <c r="C237" s="16"/>
      <c r="D237" s="16"/>
      <c r="E237" s="16"/>
      <c r="F237" s="16"/>
      <c r="G237" s="16"/>
      <c r="H237" s="18" t="str">
        <f t="shared" si="3"/>
        <v/>
      </c>
      <c r="I237" s="16"/>
      <c r="J237" s="18" t="str">
        <f>IF(A237="","",COUNTIF(Artistes!$G$2:$G$301,A237))</f>
        <v/>
      </c>
      <c r="K237" s="18" t="str">
        <f>IF(A237="","",COUNTIF(Œuvres!$F$2:$F$301,A237))</f>
        <v/>
      </c>
      <c r="L237" s="16"/>
    </row>
    <row r="238" spans="1:12" x14ac:dyDescent="0.25">
      <c r="A238" s="16"/>
      <c r="B238" s="16"/>
      <c r="C238" s="16"/>
      <c r="D238" s="16"/>
      <c r="E238" s="16"/>
      <c r="F238" s="16"/>
      <c r="G238" s="16"/>
      <c r="H238" s="18" t="str">
        <f t="shared" si="3"/>
        <v/>
      </c>
      <c r="I238" s="16"/>
      <c r="J238" s="18" t="str">
        <f>IF(A238="","",COUNTIF(Artistes!$G$2:$G$301,A238))</f>
        <v/>
      </c>
      <c r="K238" s="18" t="str">
        <f>IF(A238="","",COUNTIF(Œuvres!$F$2:$F$301,A238))</f>
        <v/>
      </c>
      <c r="L238" s="16"/>
    </row>
    <row r="239" spans="1:12" x14ac:dyDescent="0.25">
      <c r="A239" s="16"/>
      <c r="B239" s="16"/>
      <c r="C239" s="16"/>
      <c r="D239" s="16"/>
      <c r="E239" s="16"/>
      <c r="F239" s="16"/>
      <c r="G239" s="16"/>
      <c r="H239" s="18" t="str">
        <f t="shared" si="3"/>
        <v/>
      </c>
      <c r="I239" s="16"/>
      <c r="J239" s="18" t="str">
        <f>IF(A239="","",COUNTIF(Artistes!$G$2:$G$301,A239))</f>
        <v/>
      </c>
      <c r="K239" s="18" t="str">
        <f>IF(A239="","",COUNTIF(Œuvres!$F$2:$F$301,A239))</f>
        <v/>
      </c>
      <c r="L239" s="16"/>
    </row>
    <row r="240" spans="1:12" x14ac:dyDescent="0.25">
      <c r="A240" s="16"/>
      <c r="B240" s="16"/>
      <c r="C240" s="16"/>
      <c r="D240" s="16"/>
      <c r="E240" s="16"/>
      <c r="F240" s="16"/>
      <c r="G240" s="16"/>
      <c r="H240" s="18" t="str">
        <f t="shared" si="3"/>
        <v/>
      </c>
      <c r="I240" s="16"/>
      <c r="J240" s="18" t="str">
        <f>IF(A240="","",COUNTIF(Artistes!$G$2:$G$301,A240))</f>
        <v/>
      </c>
      <c r="K240" s="18" t="str">
        <f>IF(A240="","",COUNTIF(Œuvres!$F$2:$F$301,A240))</f>
        <v/>
      </c>
      <c r="L240" s="16"/>
    </row>
    <row r="241" spans="1:12" x14ac:dyDescent="0.25">
      <c r="A241" s="16"/>
      <c r="B241" s="16"/>
      <c r="C241" s="16"/>
      <c r="D241" s="16"/>
      <c r="E241" s="16"/>
      <c r="F241" s="16"/>
      <c r="G241" s="16"/>
      <c r="H241" s="18" t="str">
        <f t="shared" si="3"/>
        <v/>
      </c>
      <c r="I241" s="16"/>
      <c r="J241" s="18" t="str">
        <f>IF(A241="","",COUNTIF(Artistes!$G$2:$G$301,A241))</f>
        <v/>
      </c>
      <c r="K241" s="18" t="str">
        <f>IF(A241="","",COUNTIF(Œuvres!$F$2:$F$301,A241))</f>
        <v/>
      </c>
      <c r="L241" s="16"/>
    </row>
    <row r="242" spans="1:12" x14ac:dyDescent="0.25">
      <c r="A242" s="16"/>
      <c r="B242" s="16"/>
      <c r="C242" s="16"/>
      <c r="D242" s="16"/>
      <c r="E242" s="16"/>
      <c r="F242" s="16"/>
      <c r="G242" s="16"/>
      <c r="H242" s="18" t="str">
        <f t="shared" si="3"/>
        <v/>
      </c>
      <c r="I242" s="16"/>
      <c r="J242" s="18" t="str">
        <f>IF(A242="","",COUNTIF(Artistes!$G$2:$G$301,A242))</f>
        <v/>
      </c>
      <c r="K242" s="18" t="str">
        <f>IF(A242="","",COUNTIF(Œuvres!$F$2:$F$301,A242))</f>
        <v/>
      </c>
      <c r="L242" s="16"/>
    </row>
    <row r="243" spans="1:12" x14ac:dyDescent="0.25">
      <c r="A243" s="16"/>
      <c r="B243" s="16"/>
      <c r="C243" s="16"/>
      <c r="D243" s="16"/>
      <c r="E243" s="16"/>
      <c r="F243" s="16"/>
      <c r="G243" s="16"/>
      <c r="H243" s="18" t="str">
        <f t="shared" si="3"/>
        <v/>
      </c>
      <c r="I243" s="16"/>
      <c r="J243" s="18" t="str">
        <f>IF(A243="","",COUNTIF(Artistes!$G$2:$G$301,A243))</f>
        <v/>
      </c>
      <c r="K243" s="18" t="str">
        <f>IF(A243="","",COUNTIF(Œuvres!$F$2:$F$301,A243))</f>
        <v/>
      </c>
      <c r="L243" s="16"/>
    </row>
    <row r="244" spans="1:12" x14ac:dyDescent="0.25">
      <c r="A244" s="16"/>
      <c r="B244" s="16"/>
      <c r="C244" s="16"/>
      <c r="D244" s="16"/>
      <c r="E244" s="16"/>
      <c r="F244" s="16"/>
      <c r="G244" s="16"/>
      <c r="H244" s="18" t="str">
        <f t="shared" si="3"/>
        <v/>
      </c>
      <c r="I244" s="16"/>
      <c r="J244" s="18" t="str">
        <f>IF(A244="","",COUNTIF(Artistes!$G$2:$G$301,A244))</f>
        <v/>
      </c>
      <c r="K244" s="18" t="str">
        <f>IF(A244="","",COUNTIF(Œuvres!$F$2:$F$301,A244))</f>
        <v/>
      </c>
      <c r="L244" s="16"/>
    </row>
    <row r="245" spans="1:12" x14ac:dyDescent="0.25">
      <c r="A245" s="16"/>
      <c r="B245" s="16"/>
      <c r="C245" s="16"/>
      <c r="D245" s="16"/>
      <c r="E245" s="16"/>
      <c r="F245" s="16"/>
      <c r="G245" s="16"/>
      <c r="H245" s="18" t="str">
        <f t="shared" si="3"/>
        <v/>
      </c>
      <c r="I245" s="16"/>
      <c r="J245" s="18" t="str">
        <f>IF(A245="","",COUNTIF(Artistes!$G$2:$G$301,A245))</f>
        <v/>
      </c>
      <c r="K245" s="18" t="str">
        <f>IF(A245="","",COUNTIF(Œuvres!$F$2:$F$301,A245))</f>
        <v/>
      </c>
      <c r="L245" s="16"/>
    </row>
    <row r="246" spans="1:12" x14ac:dyDescent="0.25">
      <c r="A246" s="16"/>
      <c r="B246" s="16"/>
      <c r="C246" s="16"/>
      <c r="D246" s="16"/>
      <c r="E246" s="16"/>
      <c r="F246" s="16"/>
      <c r="G246" s="16"/>
      <c r="H246" s="18" t="str">
        <f t="shared" si="3"/>
        <v/>
      </c>
      <c r="I246" s="16"/>
      <c r="J246" s="18" t="str">
        <f>IF(A246="","",COUNTIF(Artistes!$G$2:$G$301,A246))</f>
        <v/>
      </c>
      <c r="K246" s="18" t="str">
        <f>IF(A246="","",COUNTIF(Œuvres!$F$2:$F$301,A246))</f>
        <v/>
      </c>
      <c r="L246" s="16"/>
    </row>
    <row r="247" spans="1:12" x14ac:dyDescent="0.25">
      <c r="A247" s="16"/>
      <c r="B247" s="16"/>
      <c r="C247" s="16"/>
      <c r="D247" s="16"/>
      <c r="E247" s="16"/>
      <c r="F247" s="16"/>
      <c r="G247" s="16"/>
      <c r="H247" s="18" t="str">
        <f t="shared" si="3"/>
        <v/>
      </c>
      <c r="I247" s="16"/>
      <c r="J247" s="18" t="str">
        <f>IF(A247="","",COUNTIF(Artistes!$G$2:$G$301,A247))</f>
        <v/>
      </c>
      <c r="K247" s="18" t="str">
        <f>IF(A247="","",COUNTIF(Œuvres!$F$2:$F$301,A247))</f>
        <v/>
      </c>
      <c r="L247" s="16"/>
    </row>
    <row r="248" spans="1:12" x14ac:dyDescent="0.25">
      <c r="A248" s="16"/>
      <c r="B248" s="16"/>
      <c r="C248" s="16"/>
      <c r="D248" s="16"/>
      <c r="E248" s="16"/>
      <c r="F248" s="16"/>
      <c r="G248" s="16"/>
      <c r="H248" s="18" t="str">
        <f t="shared" si="3"/>
        <v/>
      </c>
      <c r="I248" s="16"/>
      <c r="J248" s="18" t="str">
        <f>IF(A248="","",COUNTIF(Artistes!$G$2:$G$301,A248))</f>
        <v/>
      </c>
      <c r="K248" s="18" t="str">
        <f>IF(A248="","",COUNTIF(Œuvres!$F$2:$F$301,A248))</f>
        <v/>
      </c>
      <c r="L248" s="16"/>
    </row>
    <row r="249" spans="1:12" x14ac:dyDescent="0.25">
      <c r="A249" s="16"/>
      <c r="B249" s="16"/>
      <c r="C249" s="16"/>
      <c r="D249" s="16"/>
      <c r="E249" s="16"/>
      <c r="F249" s="16"/>
      <c r="G249" s="16"/>
      <c r="H249" s="18" t="str">
        <f t="shared" si="3"/>
        <v/>
      </c>
      <c r="I249" s="16"/>
      <c r="J249" s="18" t="str">
        <f>IF(A249="","",COUNTIF(Artistes!$G$2:$G$301,A249))</f>
        <v/>
      </c>
      <c r="K249" s="18" t="str">
        <f>IF(A249="","",COUNTIF(Œuvres!$F$2:$F$301,A249))</f>
        <v/>
      </c>
      <c r="L249" s="16"/>
    </row>
    <row r="250" spans="1:12" x14ac:dyDescent="0.25">
      <c r="A250" s="16"/>
      <c r="B250" s="16"/>
      <c r="C250" s="16"/>
      <c r="D250" s="16"/>
      <c r="E250" s="16"/>
      <c r="F250" s="16"/>
      <c r="G250" s="16"/>
      <c r="H250" s="18" t="str">
        <f t="shared" si="3"/>
        <v/>
      </c>
      <c r="I250" s="16"/>
      <c r="J250" s="18" t="str">
        <f>IF(A250="","",COUNTIF(Artistes!$G$2:$G$301,A250))</f>
        <v/>
      </c>
      <c r="K250" s="18" t="str">
        <f>IF(A250="","",COUNTIF(Œuvres!$F$2:$F$301,A250))</f>
        <v/>
      </c>
      <c r="L250" s="16"/>
    </row>
    <row r="251" spans="1:12" x14ac:dyDescent="0.25">
      <c r="A251" s="16"/>
      <c r="B251" s="16"/>
      <c r="C251" s="16"/>
      <c r="D251" s="16"/>
      <c r="E251" s="16"/>
      <c r="F251" s="16"/>
      <c r="G251" s="16"/>
      <c r="H251" s="18" t="str">
        <f t="shared" si="3"/>
        <v/>
      </c>
      <c r="I251" s="16"/>
      <c r="J251" s="18" t="str">
        <f>IF(A251="","",COUNTIF(Artistes!$G$2:$G$301,A251))</f>
        <v/>
      </c>
      <c r="K251" s="18" t="str">
        <f>IF(A251="","",COUNTIF(Œuvres!$F$2:$F$301,A251))</f>
        <v/>
      </c>
      <c r="L251" s="16"/>
    </row>
    <row r="252" spans="1:12" x14ac:dyDescent="0.25">
      <c r="A252" s="16"/>
      <c r="B252" s="16"/>
      <c r="C252" s="16"/>
      <c r="D252" s="16"/>
      <c r="E252" s="16"/>
      <c r="F252" s="16"/>
      <c r="G252" s="16"/>
      <c r="H252" s="18" t="str">
        <f t="shared" si="3"/>
        <v/>
      </c>
      <c r="I252" s="16"/>
      <c r="J252" s="18" t="str">
        <f>IF(A252="","",COUNTIF(Artistes!$G$2:$G$301,A252))</f>
        <v/>
      </c>
      <c r="K252" s="18" t="str">
        <f>IF(A252="","",COUNTIF(Œuvres!$F$2:$F$301,A252))</f>
        <v/>
      </c>
      <c r="L252" s="16"/>
    </row>
    <row r="253" spans="1:12" x14ac:dyDescent="0.25">
      <c r="A253" s="16"/>
      <c r="B253" s="16"/>
      <c r="C253" s="16"/>
      <c r="D253" s="16"/>
      <c r="E253" s="16"/>
      <c r="F253" s="16"/>
      <c r="G253" s="16"/>
      <c r="H253" s="18" t="str">
        <f t="shared" si="3"/>
        <v/>
      </c>
      <c r="I253" s="16"/>
      <c r="J253" s="18" t="str">
        <f>IF(A253="","",COUNTIF(Artistes!$G$2:$G$301,A253))</f>
        <v/>
      </c>
      <c r="K253" s="18" t="str">
        <f>IF(A253="","",COUNTIF(Œuvres!$F$2:$F$301,A253))</f>
        <v/>
      </c>
      <c r="L253" s="16"/>
    </row>
    <row r="254" spans="1:12" x14ac:dyDescent="0.25">
      <c r="A254" s="16"/>
      <c r="B254" s="16"/>
      <c r="C254" s="16"/>
      <c r="D254" s="16"/>
      <c r="E254" s="16"/>
      <c r="F254" s="16"/>
      <c r="G254" s="16"/>
      <c r="H254" s="18" t="str">
        <f t="shared" si="3"/>
        <v/>
      </c>
      <c r="I254" s="16"/>
      <c r="J254" s="18" t="str">
        <f>IF(A254="","",COUNTIF(Artistes!$G$2:$G$301,A254))</f>
        <v/>
      </c>
      <c r="K254" s="18" t="str">
        <f>IF(A254="","",COUNTIF(Œuvres!$F$2:$F$301,A254))</f>
        <v/>
      </c>
      <c r="L254" s="16"/>
    </row>
    <row r="255" spans="1:12" x14ac:dyDescent="0.25">
      <c r="A255" s="16"/>
      <c r="B255" s="16"/>
      <c r="C255" s="16"/>
      <c r="D255" s="16"/>
      <c r="E255" s="16"/>
      <c r="F255" s="16"/>
      <c r="G255" s="16"/>
      <c r="H255" s="18" t="str">
        <f t="shared" si="3"/>
        <v/>
      </c>
      <c r="I255" s="16"/>
      <c r="J255" s="18" t="str">
        <f>IF(A255="","",COUNTIF(Artistes!$G$2:$G$301,A255))</f>
        <v/>
      </c>
      <c r="K255" s="18" t="str">
        <f>IF(A255="","",COUNTIF(Œuvres!$F$2:$F$301,A255))</f>
        <v/>
      </c>
      <c r="L255" s="16"/>
    </row>
    <row r="256" spans="1:12" x14ac:dyDescent="0.25">
      <c r="A256" s="16"/>
      <c r="B256" s="16"/>
      <c r="C256" s="16"/>
      <c r="D256" s="16"/>
      <c r="E256" s="16"/>
      <c r="F256" s="16"/>
      <c r="G256" s="16"/>
      <c r="H256" s="18" t="str">
        <f t="shared" si="3"/>
        <v/>
      </c>
      <c r="I256" s="16"/>
      <c r="J256" s="18" t="str">
        <f>IF(A256="","",COUNTIF(Artistes!$G$2:$G$301,A256))</f>
        <v/>
      </c>
      <c r="K256" s="18" t="str">
        <f>IF(A256="","",COUNTIF(Œuvres!$F$2:$F$301,A256))</f>
        <v/>
      </c>
      <c r="L256" s="16"/>
    </row>
    <row r="257" spans="1:12" x14ac:dyDescent="0.25">
      <c r="A257" s="16"/>
      <c r="B257" s="16"/>
      <c r="C257" s="16"/>
      <c r="D257" s="16"/>
      <c r="E257" s="16"/>
      <c r="F257" s="16"/>
      <c r="G257" s="16"/>
      <c r="H257" s="18" t="str">
        <f t="shared" si="3"/>
        <v/>
      </c>
      <c r="I257" s="16"/>
      <c r="J257" s="18" t="str">
        <f>IF(A257="","",COUNTIF(Artistes!$G$2:$G$301,A257))</f>
        <v/>
      </c>
      <c r="K257" s="18" t="str">
        <f>IF(A257="","",COUNTIF(Œuvres!$F$2:$F$301,A257))</f>
        <v/>
      </c>
      <c r="L257" s="16"/>
    </row>
    <row r="258" spans="1:12" x14ac:dyDescent="0.25">
      <c r="A258" s="16"/>
      <c r="B258" s="16"/>
      <c r="C258" s="16"/>
      <c r="D258" s="16"/>
      <c r="E258" s="16"/>
      <c r="F258" s="16"/>
      <c r="G258" s="16"/>
      <c r="H258" s="18" t="str">
        <f t="shared" ref="H258:H301" si="4">IF(A258="","","mouvements/"&amp;A258&amp;".md")</f>
        <v/>
      </c>
      <c r="I258" s="16"/>
      <c r="J258" s="18" t="str">
        <f>IF(A258="","",COUNTIF(Artistes!$G$2:$G$301,A258))</f>
        <v/>
      </c>
      <c r="K258" s="18" t="str">
        <f>IF(A258="","",COUNTIF(Œuvres!$F$2:$F$301,A258))</f>
        <v/>
      </c>
      <c r="L258" s="16"/>
    </row>
    <row r="259" spans="1:12" x14ac:dyDescent="0.25">
      <c r="A259" s="16"/>
      <c r="B259" s="16"/>
      <c r="C259" s="16"/>
      <c r="D259" s="16"/>
      <c r="E259" s="16"/>
      <c r="F259" s="16"/>
      <c r="G259" s="16"/>
      <c r="H259" s="18" t="str">
        <f t="shared" si="4"/>
        <v/>
      </c>
      <c r="I259" s="16"/>
      <c r="J259" s="18" t="str">
        <f>IF(A259="","",COUNTIF(Artistes!$G$2:$G$301,A259))</f>
        <v/>
      </c>
      <c r="K259" s="18" t="str">
        <f>IF(A259="","",COUNTIF(Œuvres!$F$2:$F$301,A259))</f>
        <v/>
      </c>
      <c r="L259" s="16"/>
    </row>
    <row r="260" spans="1:12" x14ac:dyDescent="0.25">
      <c r="A260" s="16"/>
      <c r="B260" s="16"/>
      <c r="C260" s="16"/>
      <c r="D260" s="16"/>
      <c r="E260" s="16"/>
      <c r="F260" s="16"/>
      <c r="G260" s="16"/>
      <c r="H260" s="18" t="str">
        <f t="shared" si="4"/>
        <v/>
      </c>
      <c r="I260" s="16"/>
      <c r="J260" s="18" t="str">
        <f>IF(A260="","",COUNTIF(Artistes!$G$2:$G$301,A260))</f>
        <v/>
      </c>
      <c r="K260" s="18" t="str">
        <f>IF(A260="","",COUNTIF(Œuvres!$F$2:$F$301,A260))</f>
        <v/>
      </c>
      <c r="L260" s="16"/>
    </row>
    <row r="261" spans="1:12" x14ac:dyDescent="0.25">
      <c r="A261" s="16"/>
      <c r="B261" s="16"/>
      <c r="C261" s="16"/>
      <c r="D261" s="16"/>
      <c r="E261" s="16"/>
      <c r="F261" s="16"/>
      <c r="G261" s="16"/>
      <c r="H261" s="18" t="str">
        <f t="shared" si="4"/>
        <v/>
      </c>
      <c r="I261" s="16"/>
      <c r="J261" s="18" t="str">
        <f>IF(A261="","",COUNTIF(Artistes!$G$2:$G$301,A261))</f>
        <v/>
      </c>
      <c r="K261" s="18" t="str">
        <f>IF(A261="","",COUNTIF(Œuvres!$F$2:$F$301,A261))</f>
        <v/>
      </c>
      <c r="L261" s="16"/>
    </row>
    <row r="262" spans="1:12" x14ac:dyDescent="0.25">
      <c r="A262" s="16"/>
      <c r="B262" s="16"/>
      <c r="C262" s="16"/>
      <c r="D262" s="16"/>
      <c r="E262" s="16"/>
      <c r="F262" s="16"/>
      <c r="G262" s="16"/>
      <c r="H262" s="18" t="str">
        <f t="shared" si="4"/>
        <v/>
      </c>
      <c r="I262" s="16"/>
      <c r="J262" s="18" t="str">
        <f>IF(A262="","",COUNTIF(Artistes!$G$2:$G$301,A262))</f>
        <v/>
      </c>
      <c r="K262" s="18" t="str">
        <f>IF(A262="","",COUNTIF(Œuvres!$F$2:$F$301,A262))</f>
        <v/>
      </c>
      <c r="L262" s="16"/>
    </row>
    <row r="263" spans="1:12" x14ac:dyDescent="0.25">
      <c r="A263" s="16"/>
      <c r="B263" s="16"/>
      <c r="C263" s="16"/>
      <c r="D263" s="16"/>
      <c r="E263" s="16"/>
      <c r="F263" s="16"/>
      <c r="G263" s="16"/>
      <c r="H263" s="18" t="str">
        <f t="shared" si="4"/>
        <v/>
      </c>
      <c r="I263" s="16"/>
      <c r="J263" s="18" t="str">
        <f>IF(A263="","",COUNTIF(Artistes!$G$2:$G$301,A263))</f>
        <v/>
      </c>
      <c r="K263" s="18" t="str">
        <f>IF(A263="","",COUNTIF(Œuvres!$F$2:$F$301,A263))</f>
        <v/>
      </c>
      <c r="L263" s="16"/>
    </row>
    <row r="264" spans="1:12" x14ac:dyDescent="0.25">
      <c r="A264" s="16"/>
      <c r="B264" s="16"/>
      <c r="C264" s="16"/>
      <c r="D264" s="16"/>
      <c r="E264" s="16"/>
      <c r="F264" s="16"/>
      <c r="G264" s="16"/>
      <c r="H264" s="18" t="str">
        <f t="shared" si="4"/>
        <v/>
      </c>
      <c r="I264" s="16"/>
      <c r="J264" s="18" t="str">
        <f>IF(A264="","",COUNTIF(Artistes!$G$2:$G$301,A264))</f>
        <v/>
      </c>
      <c r="K264" s="18" t="str">
        <f>IF(A264="","",COUNTIF(Œuvres!$F$2:$F$301,A264))</f>
        <v/>
      </c>
      <c r="L264" s="16"/>
    </row>
    <row r="265" spans="1:12" x14ac:dyDescent="0.25">
      <c r="A265" s="16"/>
      <c r="B265" s="16"/>
      <c r="C265" s="16"/>
      <c r="D265" s="16"/>
      <c r="E265" s="16"/>
      <c r="F265" s="16"/>
      <c r="G265" s="16"/>
      <c r="H265" s="18" t="str">
        <f t="shared" si="4"/>
        <v/>
      </c>
      <c r="I265" s="16"/>
      <c r="J265" s="18" t="str">
        <f>IF(A265="","",COUNTIF(Artistes!$G$2:$G$301,A265))</f>
        <v/>
      </c>
      <c r="K265" s="18" t="str">
        <f>IF(A265="","",COUNTIF(Œuvres!$F$2:$F$301,A265))</f>
        <v/>
      </c>
      <c r="L265" s="16"/>
    </row>
    <row r="266" spans="1:12" x14ac:dyDescent="0.25">
      <c r="A266" s="16"/>
      <c r="B266" s="16"/>
      <c r="C266" s="16"/>
      <c r="D266" s="16"/>
      <c r="E266" s="16"/>
      <c r="F266" s="16"/>
      <c r="G266" s="16"/>
      <c r="H266" s="18" t="str">
        <f t="shared" si="4"/>
        <v/>
      </c>
      <c r="I266" s="16"/>
      <c r="J266" s="18" t="str">
        <f>IF(A266="","",COUNTIF(Artistes!$G$2:$G$301,A266))</f>
        <v/>
      </c>
      <c r="K266" s="18" t="str">
        <f>IF(A266="","",COUNTIF(Œuvres!$F$2:$F$301,A266))</f>
        <v/>
      </c>
      <c r="L266" s="16"/>
    </row>
    <row r="267" spans="1:12" x14ac:dyDescent="0.25">
      <c r="A267" s="16"/>
      <c r="B267" s="16"/>
      <c r="C267" s="16"/>
      <c r="D267" s="16"/>
      <c r="E267" s="16"/>
      <c r="F267" s="16"/>
      <c r="G267" s="16"/>
      <c r="H267" s="18" t="str">
        <f t="shared" si="4"/>
        <v/>
      </c>
      <c r="I267" s="16"/>
      <c r="J267" s="18" t="str">
        <f>IF(A267="","",COUNTIF(Artistes!$G$2:$G$301,A267))</f>
        <v/>
      </c>
      <c r="K267" s="18" t="str">
        <f>IF(A267="","",COUNTIF(Œuvres!$F$2:$F$301,A267))</f>
        <v/>
      </c>
      <c r="L267" s="16"/>
    </row>
    <row r="268" spans="1:12" x14ac:dyDescent="0.25">
      <c r="A268" s="16"/>
      <c r="B268" s="16"/>
      <c r="C268" s="16"/>
      <c r="D268" s="16"/>
      <c r="E268" s="16"/>
      <c r="F268" s="16"/>
      <c r="G268" s="16"/>
      <c r="H268" s="18" t="str">
        <f t="shared" si="4"/>
        <v/>
      </c>
      <c r="I268" s="16"/>
      <c r="J268" s="18" t="str">
        <f>IF(A268="","",COUNTIF(Artistes!$G$2:$G$301,A268))</f>
        <v/>
      </c>
      <c r="K268" s="18" t="str">
        <f>IF(A268="","",COUNTIF(Œuvres!$F$2:$F$301,A268))</f>
        <v/>
      </c>
      <c r="L268" s="16"/>
    </row>
    <row r="269" spans="1:12" x14ac:dyDescent="0.25">
      <c r="A269" s="16"/>
      <c r="B269" s="16"/>
      <c r="C269" s="16"/>
      <c r="D269" s="16"/>
      <c r="E269" s="16"/>
      <c r="F269" s="16"/>
      <c r="G269" s="16"/>
      <c r="H269" s="18" t="str">
        <f t="shared" si="4"/>
        <v/>
      </c>
      <c r="I269" s="16"/>
      <c r="J269" s="18" t="str">
        <f>IF(A269="","",COUNTIF(Artistes!$G$2:$G$301,A269))</f>
        <v/>
      </c>
      <c r="K269" s="18" t="str">
        <f>IF(A269="","",COUNTIF(Œuvres!$F$2:$F$301,A269))</f>
        <v/>
      </c>
      <c r="L269" s="16"/>
    </row>
    <row r="270" spans="1:12" x14ac:dyDescent="0.25">
      <c r="A270" s="16"/>
      <c r="B270" s="16"/>
      <c r="C270" s="16"/>
      <c r="D270" s="16"/>
      <c r="E270" s="16"/>
      <c r="F270" s="16"/>
      <c r="G270" s="16"/>
      <c r="H270" s="18" t="str">
        <f t="shared" si="4"/>
        <v/>
      </c>
      <c r="I270" s="16"/>
      <c r="J270" s="18" t="str">
        <f>IF(A270="","",COUNTIF(Artistes!$G$2:$G$301,A270))</f>
        <v/>
      </c>
      <c r="K270" s="18" t="str">
        <f>IF(A270="","",COUNTIF(Œuvres!$F$2:$F$301,A270))</f>
        <v/>
      </c>
      <c r="L270" s="16"/>
    </row>
    <row r="271" spans="1:12" x14ac:dyDescent="0.25">
      <c r="A271" s="16"/>
      <c r="B271" s="16"/>
      <c r="C271" s="16"/>
      <c r="D271" s="16"/>
      <c r="E271" s="16"/>
      <c r="F271" s="16"/>
      <c r="G271" s="16"/>
      <c r="H271" s="18" t="str">
        <f t="shared" si="4"/>
        <v/>
      </c>
      <c r="I271" s="16"/>
      <c r="J271" s="18" t="str">
        <f>IF(A271="","",COUNTIF(Artistes!$G$2:$G$301,A271))</f>
        <v/>
      </c>
      <c r="K271" s="18" t="str">
        <f>IF(A271="","",COUNTIF(Œuvres!$F$2:$F$301,A271))</f>
        <v/>
      </c>
      <c r="L271" s="16"/>
    </row>
    <row r="272" spans="1:12" x14ac:dyDescent="0.25">
      <c r="A272" s="16"/>
      <c r="B272" s="16"/>
      <c r="C272" s="16"/>
      <c r="D272" s="16"/>
      <c r="E272" s="16"/>
      <c r="F272" s="16"/>
      <c r="G272" s="16"/>
      <c r="H272" s="18" t="str">
        <f t="shared" si="4"/>
        <v/>
      </c>
      <c r="I272" s="16"/>
      <c r="J272" s="18" t="str">
        <f>IF(A272="","",COUNTIF(Artistes!$G$2:$G$301,A272))</f>
        <v/>
      </c>
      <c r="K272" s="18" t="str">
        <f>IF(A272="","",COUNTIF(Œuvres!$F$2:$F$301,A272))</f>
        <v/>
      </c>
      <c r="L272" s="16"/>
    </row>
    <row r="273" spans="1:12" x14ac:dyDescent="0.25">
      <c r="A273" s="16"/>
      <c r="B273" s="16"/>
      <c r="C273" s="16"/>
      <c r="D273" s="16"/>
      <c r="E273" s="16"/>
      <c r="F273" s="16"/>
      <c r="G273" s="16"/>
      <c r="H273" s="18" t="str">
        <f t="shared" si="4"/>
        <v/>
      </c>
      <c r="I273" s="16"/>
      <c r="J273" s="18" t="str">
        <f>IF(A273="","",COUNTIF(Artistes!$G$2:$G$301,A273))</f>
        <v/>
      </c>
      <c r="K273" s="18" t="str">
        <f>IF(A273="","",COUNTIF(Œuvres!$F$2:$F$301,A273))</f>
        <v/>
      </c>
      <c r="L273" s="16"/>
    </row>
    <row r="274" spans="1:12" x14ac:dyDescent="0.25">
      <c r="A274" s="16"/>
      <c r="B274" s="16"/>
      <c r="C274" s="16"/>
      <c r="D274" s="16"/>
      <c r="E274" s="16"/>
      <c r="F274" s="16"/>
      <c r="G274" s="16"/>
      <c r="H274" s="18" t="str">
        <f t="shared" si="4"/>
        <v/>
      </c>
      <c r="I274" s="16"/>
      <c r="J274" s="18" t="str">
        <f>IF(A274="","",COUNTIF(Artistes!$G$2:$G$301,A274))</f>
        <v/>
      </c>
      <c r="K274" s="18" t="str">
        <f>IF(A274="","",COUNTIF(Œuvres!$F$2:$F$301,A274))</f>
        <v/>
      </c>
      <c r="L274" s="16"/>
    </row>
    <row r="275" spans="1:12" x14ac:dyDescent="0.25">
      <c r="A275" s="16"/>
      <c r="B275" s="16"/>
      <c r="C275" s="16"/>
      <c r="D275" s="16"/>
      <c r="E275" s="16"/>
      <c r="F275" s="16"/>
      <c r="G275" s="16"/>
      <c r="H275" s="18" t="str">
        <f t="shared" si="4"/>
        <v/>
      </c>
      <c r="I275" s="16"/>
      <c r="J275" s="18" t="str">
        <f>IF(A275="","",COUNTIF(Artistes!$G$2:$G$301,A275))</f>
        <v/>
      </c>
      <c r="K275" s="18" t="str">
        <f>IF(A275="","",COUNTIF(Œuvres!$F$2:$F$301,A275))</f>
        <v/>
      </c>
      <c r="L275" s="16"/>
    </row>
    <row r="276" spans="1:12" x14ac:dyDescent="0.25">
      <c r="A276" s="16"/>
      <c r="B276" s="16"/>
      <c r="C276" s="16"/>
      <c r="D276" s="16"/>
      <c r="E276" s="16"/>
      <c r="F276" s="16"/>
      <c r="G276" s="16"/>
      <c r="H276" s="18" t="str">
        <f t="shared" si="4"/>
        <v/>
      </c>
      <c r="I276" s="16"/>
      <c r="J276" s="18" t="str">
        <f>IF(A276="","",COUNTIF(Artistes!$G$2:$G$301,A276))</f>
        <v/>
      </c>
      <c r="K276" s="18" t="str">
        <f>IF(A276="","",COUNTIF(Œuvres!$F$2:$F$301,A276))</f>
        <v/>
      </c>
      <c r="L276" s="16"/>
    </row>
    <row r="277" spans="1:12" x14ac:dyDescent="0.25">
      <c r="A277" s="16"/>
      <c r="B277" s="16"/>
      <c r="C277" s="16"/>
      <c r="D277" s="16"/>
      <c r="E277" s="16"/>
      <c r="F277" s="16"/>
      <c r="G277" s="16"/>
      <c r="H277" s="18" t="str">
        <f t="shared" si="4"/>
        <v/>
      </c>
      <c r="I277" s="16"/>
      <c r="J277" s="18" t="str">
        <f>IF(A277="","",COUNTIF(Artistes!$G$2:$G$301,A277))</f>
        <v/>
      </c>
      <c r="K277" s="18" t="str">
        <f>IF(A277="","",COUNTIF(Œuvres!$F$2:$F$301,A277))</f>
        <v/>
      </c>
      <c r="L277" s="16"/>
    </row>
    <row r="278" spans="1:12" x14ac:dyDescent="0.25">
      <c r="A278" s="16"/>
      <c r="B278" s="16"/>
      <c r="C278" s="16"/>
      <c r="D278" s="16"/>
      <c r="E278" s="16"/>
      <c r="F278" s="16"/>
      <c r="G278" s="16"/>
      <c r="H278" s="18" t="str">
        <f t="shared" si="4"/>
        <v/>
      </c>
      <c r="I278" s="16"/>
      <c r="J278" s="18" t="str">
        <f>IF(A278="","",COUNTIF(Artistes!$G$2:$G$301,A278))</f>
        <v/>
      </c>
      <c r="K278" s="18" t="str">
        <f>IF(A278="","",COUNTIF(Œuvres!$F$2:$F$301,A278))</f>
        <v/>
      </c>
      <c r="L278" s="16"/>
    </row>
    <row r="279" spans="1:12" x14ac:dyDescent="0.25">
      <c r="A279" s="16"/>
      <c r="B279" s="16"/>
      <c r="C279" s="16"/>
      <c r="D279" s="16"/>
      <c r="E279" s="16"/>
      <c r="F279" s="16"/>
      <c r="G279" s="16"/>
      <c r="H279" s="18" t="str">
        <f t="shared" si="4"/>
        <v/>
      </c>
      <c r="I279" s="16"/>
      <c r="J279" s="18" t="str">
        <f>IF(A279="","",COUNTIF(Artistes!$G$2:$G$301,A279))</f>
        <v/>
      </c>
      <c r="K279" s="18" t="str">
        <f>IF(A279="","",COUNTIF(Œuvres!$F$2:$F$301,A279))</f>
        <v/>
      </c>
      <c r="L279" s="16"/>
    </row>
    <row r="280" spans="1:12" x14ac:dyDescent="0.25">
      <c r="A280" s="16"/>
      <c r="B280" s="16"/>
      <c r="C280" s="16"/>
      <c r="D280" s="16"/>
      <c r="E280" s="16"/>
      <c r="F280" s="16"/>
      <c r="G280" s="16"/>
      <c r="H280" s="18" t="str">
        <f t="shared" si="4"/>
        <v/>
      </c>
      <c r="I280" s="16"/>
      <c r="J280" s="18" t="str">
        <f>IF(A280="","",COUNTIF(Artistes!$G$2:$G$301,A280))</f>
        <v/>
      </c>
      <c r="K280" s="18" t="str">
        <f>IF(A280="","",COUNTIF(Œuvres!$F$2:$F$301,A280))</f>
        <v/>
      </c>
      <c r="L280" s="16"/>
    </row>
    <row r="281" spans="1:12" x14ac:dyDescent="0.25">
      <c r="A281" s="16"/>
      <c r="B281" s="16"/>
      <c r="C281" s="16"/>
      <c r="D281" s="16"/>
      <c r="E281" s="16"/>
      <c r="F281" s="16"/>
      <c r="G281" s="16"/>
      <c r="H281" s="18" t="str">
        <f t="shared" si="4"/>
        <v/>
      </c>
      <c r="I281" s="16"/>
      <c r="J281" s="18" t="str">
        <f>IF(A281="","",COUNTIF(Artistes!$G$2:$G$301,A281))</f>
        <v/>
      </c>
      <c r="K281" s="18" t="str">
        <f>IF(A281="","",COUNTIF(Œuvres!$F$2:$F$301,A281))</f>
        <v/>
      </c>
      <c r="L281" s="16"/>
    </row>
    <row r="282" spans="1:12" x14ac:dyDescent="0.25">
      <c r="A282" s="16"/>
      <c r="B282" s="16"/>
      <c r="C282" s="16"/>
      <c r="D282" s="16"/>
      <c r="E282" s="16"/>
      <c r="F282" s="16"/>
      <c r="G282" s="16"/>
      <c r="H282" s="18" t="str">
        <f t="shared" si="4"/>
        <v/>
      </c>
      <c r="I282" s="16"/>
      <c r="J282" s="18" t="str">
        <f>IF(A282="","",COUNTIF(Artistes!$G$2:$G$301,A282))</f>
        <v/>
      </c>
      <c r="K282" s="18" t="str">
        <f>IF(A282="","",COUNTIF(Œuvres!$F$2:$F$301,A282))</f>
        <v/>
      </c>
      <c r="L282" s="16"/>
    </row>
    <row r="283" spans="1:12" x14ac:dyDescent="0.25">
      <c r="A283" s="16"/>
      <c r="B283" s="16"/>
      <c r="C283" s="16"/>
      <c r="D283" s="16"/>
      <c r="E283" s="16"/>
      <c r="F283" s="16"/>
      <c r="G283" s="16"/>
      <c r="H283" s="18" t="str">
        <f t="shared" si="4"/>
        <v/>
      </c>
      <c r="I283" s="16"/>
      <c r="J283" s="18" t="str">
        <f>IF(A283="","",COUNTIF(Artistes!$G$2:$G$301,A283))</f>
        <v/>
      </c>
      <c r="K283" s="18" t="str">
        <f>IF(A283="","",COUNTIF(Œuvres!$F$2:$F$301,A283))</f>
        <v/>
      </c>
      <c r="L283" s="16"/>
    </row>
    <row r="284" spans="1:12" x14ac:dyDescent="0.25">
      <c r="A284" s="16"/>
      <c r="B284" s="16"/>
      <c r="C284" s="16"/>
      <c r="D284" s="16"/>
      <c r="E284" s="16"/>
      <c r="F284" s="16"/>
      <c r="G284" s="16"/>
      <c r="H284" s="18" t="str">
        <f t="shared" si="4"/>
        <v/>
      </c>
      <c r="I284" s="16"/>
      <c r="J284" s="18" t="str">
        <f>IF(A284="","",COUNTIF(Artistes!$G$2:$G$301,A284))</f>
        <v/>
      </c>
      <c r="K284" s="18" t="str">
        <f>IF(A284="","",COUNTIF(Œuvres!$F$2:$F$301,A284))</f>
        <v/>
      </c>
      <c r="L284" s="16"/>
    </row>
    <row r="285" spans="1:12" x14ac:dyDescent="0.25">
      <c r="A285" s="16"/>
      <c r="B285" s="16"/>
      <c r="C285" s="16"/>
      <c r="D285" s="16"/>
      <c r="E285" s="16"/>
      <c r="F285" s="16"/>
      <c r="G285" s="16"/>
      <c r="H285" s="18" t="str">
        <f t="shared" si="4"/>
        <v/>
      </c>
      <c r="I285" s="16"/>
      <c r="J285" s="18" t="str">
        <f>IF(A285="","",COUNTIF(Artistes!$G$2:$G$301,A285))</f>
        <v/>
      </c>
      <c r="K285" s="18" t="str">
        <f>IF(A285="","",COUNTIF(Œuvres!$F$2:$F$301,A285))</f>
        <v/>
      </c>
      <c r="L285" s="16"/>
    </row>
    <row r="286" spans="1:12" x14ac:dyDescent="0.25">
      <c r="A286" s="16"/>
      <c r="B286" s="16"/>
      <c r="C286" s="16"/>
      <c r="D286" s="16"/>
      <c r="E286" s="16"/>
      <c r="F286" s="16"/>
      <c r="G286" s="16"/>
      <c r="H286" s="18" t="str">
        <f t="shared" si="4"/>
        <v/>
      </c>
      <c r="I286" s="16"/>
      <c r="J286" s="18" t="str">
        <f>IF(A286="","",COUNTIF(Artistes!$G$2:$G$301,A286))</f>
        <v/>
      </c>
      <c r="K286" s="18" t="str">
        <f>IF(A286="","",COUNTIF(Œuvres!$F$2:$F$301,A286))</f>
        <v/>
      </c>
      <c r="L286" s="16"/>
    </row>
    <row r="287" spans="1:12" x14ac:dyDescent="0.25">
      <c r="A287" s="16"/>
      <c r="B287" s="16"/>
      <c r="C287" s="16"/>
      <c r="D287" s="16"/>
      <c r="E287" s="16"/>
      <c r="F287" s="16"/>
      <c r="G287" s="16"/>
      <c r="H287" s="18" t="str">
        <f t="shared" si="4"/>
        <v/>
      </c>
      <c r="I287" s="16"/>
      <c r="J287" s="18" t="str">
        <f>IF(A287="","",COUNTIF(Artistes!$G$2:$G$301,A287))</f>
        <v/>
      </c>
      <c r="K287" s="18" t="str">
        <f>IF(A287="","",COUNTIF(Œuvres!$F$2:$F$301,A287))</f>
        <v/>
      </c>
      <c r="L287" s="16"/>
    </row>
    <row r="288" spans="1:12" x14ac:dyDescent="0.25">
      <c r="A288" s="16"/>
      <c r="B288" s="16"/>
      <c r="C288" s="16"/>
      <c r="D288" s="16"/>
      <c r="E288" s="16"/>
      <c r="F288" s="16"/>
      <c r="G288" s="16"/>
      <c r="H288" s="18" t="str">
        <f t="shared" si="4"/>
        <v/>
      </c>
      <c r="I288" s="16"/>
      <c r="J288" s="18" t="str">
        <f>IF(A288="","",COUNTIF(Artistes!$G$2:$G$301,A288))</f>
        <v/>
      </c>
      <c r="K288" s="18" t="str">
        <f>IF(A288="","",COUNTIF(Œuvres!$F$2:$F$301,A288))</f>
        <v/>
      </c>
      <c r="L288" s="16"/>
    </row>
    <row r="289" spans="1:12" x14ac:dyDescent="0.25">
      <c r="A289" s="16"/>
      <c r="B289" s="16"/>
      <c r="C289" s="16"/>
      <c r="D289" s="16"/>
      <c r="E289" s="16"/>
      <c r="F289" s="16"/>
      <c r="G289" s="16"/>
      <c r="H289" s="18" t="str">
        <f t="shared" si="4"/>
        <v/>
      </c>
      <c r="I289" s="16"/>
      <c r="J289" s="18" t="str">
        <f>IF(A289="","",COUNTIF(Artistes!$G$2:$G$301,A289))</f>
        <v/>
      </c>
      <c r="K289" s="18" t="str">
        <f>IF(A289="","",COUNTIF(Œuvres!$F$2:$F$301,A289))</f>
        <v/>
      </c>
      <c r="L289" s="16"/>
    </row>
    <row r="290" spans="1:12" x14ac:dyDescent="0.25">
      <c r="A290" s="16"/>
      <c r="B290" s="16"/>
      <c r="C290" s="16"/>
      <c r="D290" s="16"/>
      <c r="E290" s="16"/>
      <c r="F290" s="16"/>
      <c r="G290" s="16"/>
      <c r="H290" s="18" t="str">
        <f t="shared" si="4"/>
        <v/>
      </c>
      <c r="I290" s="16"/>
      <c r="J290" s="18" t="str">
        <f>IF(A290="","",COUNTIF(Artistes!$G$2:$G$301,A290))</f>
        <v/>
      </c>
      <c r="K290" s="18" t="str">
        <f>IF(A290="","",COUNTIF(Œuvres!$F$2:$F$301,A290))</f>
        <v/>
      </c>
      <c r="L290" s="16"/>
    </row>
    <row r="291" spans="1:12" x14ac:dyDescent="0.25">
      <c r="A291" s="16"/>
      <c r="B291" s="16"/>
      <c r="C291" s="16"/>
      <c r="D291" s="16"/>
      <c r="E291" s="16"/>
      <c r="F291" s="16"/>
      <c r="G291" s="16"/>
      <c r="H291" s="18" t="str">
        <f t="shared" si="4"/>
        <v/>
      </c>
      <c r="I291" s="16"/>
      <c r="J291" s="18" t="str">
        <f>IF(A291="","",COUNTIF(Artistes!$G$2:$G$301,A291))</f>
        <v/>
      </c>
      <c r="K291" s="18" t="str">
        <f>IF(A291="","",COUNTIF(Œuvres!$F$2:$F$301,A291))</f>
        <v/>
      </c>
      <c r="L291" s="16"/>
    </row>
    <row r="292" spans="1:12" x14ac:dyDescent="0.25">
      <c r="A292" s="16"/>
      <c r="B292" s="16"/>
      <c r="C292" s="16"/>
      <c r="D292" s="16"/>
      <c r="E292" s="16"/>
      <c r="F292" s="16"/>
      <c r="G292" s="16"/>
      <c r="H292" s="18" t="str">
        <f t="shared" si="4"/>
        <v/>
      </c>
      <c r="I292" s="16"/>
      <c r="J292" s="18" t="str">
        <f>IF(A292="","",COUNTIF(Artistes!$G$2:$G$301,A292))</f>
        <v/>
      </c>
      <c r="K292" s="18" t="str">
        <f>IF(A292="","",COUNTIF(Œuvres!$F$2:$F$301,A292))</f>
        <v/>
      </c>
      <c r="L292" s="16"/>
    </row>
    <row r="293" spans="1:12" x14ac:dyDescent="0.25">
      <c r="A293" s="16"/>
      <c r="B293" s="16"/>
      <c r="C293" s="16"/>
      <c r="D293" s="16"/>
      <c r="E293" s="16"/>
      <c r="F293" s="16"/>
      <c r="G293" s="16"/>
      <c r="H293" s="18" t="str">
        <f t="shared" si="4"/>
        <v/>
      </c>
      <c r="I293" s="16"/>
      <c r="J293" s="18" t="str">
        <f>IF(A293="","",COUNTIF(Artistes!$G$2:$G$301,A293))</f>
        <v/>
      </c>
      <c r="K293" s="18" t="str">
        <f>IF(A293="","",COUNTIF(Œuvres!$F$2:$F$301,A293))</f>
        <v/>
      </c>
      <c r="L293" s="16"/>
    </row>
    <row r="294" spans="1:12" x14ac:dyDescent="0.25">
      <c r="A294" s="16"/>
      <c r="B294" s="16"/>
      <c r="C294" s="16"/>
      <c r="D294" s="16"/>
      <c r="E294" s="16"/>
      <c r="F294" s="16"/>
      <c r="G294" s="16"/>
      <c r="H294" s="18" t="str">
        <f t="shared" si="4"/>
        <v/>
      </c>
      <c r="I294" s="16"/>
      <c r="J294" s="18" t="str">
        <f>IF(A294="","",COUNTIF(Artistes!$G$2:$G$301,A294))</f>
        <v/>
      </c>
      <c r="K294" s="18" t="str">
        <f>IF(A294="","",COUNTIF(Œuvres!$F$2:$F$301,A294))</f>
        <v/>
      </c>
      <c r="L294" s="16"/>
    </row>
    <row r="295" spans="1:12" x14ac:dyDescent="0.25">
      <c r="A295" s="16"/>
      <c r="B295" s="16"/>
      <c r="C295" s="16"/>
      <c r="D295" s="16"/>
      <c r="E295" s="16"/>
      <c r="F295" s="16"/>
      <c r="G295" s="16"/>
      <c r="H295" s="18" t="str">
        <f t="shared" si="4"/>
        <v/>
      </c>
      <c r="I295" s="16"/>
      <c r="J295" s="18" t="str">
        <f>IF(A295="","",COUNTIF(Artistes!$G$2:$G$301,A295))</f>
        <v/>
      </c>
      <c r="K295" s="18" t="str">
        <f>IF(A295="","",COUNTIF(Œuvres!$F$2:$F$301,A295))</f>
        <v/>
      </c>
      <c r="L295" s="16"/>
    </row>
    <row r="296" spans="1:12" x14ac:dyDescent="0.25">
      <c r="A296" s="16"/>
      <c r="B296" s="16"/>
      <c r="C296" s="16"/>
      <c r="D296" s="16"/>
      <c r="E296" s="16"/>
      <c r="F296" s="16"/>
      <c r="G296" s="16"/>
      <c r="H296" s="18" t="str">
        <f t="shared" si="4"/>
        <v/>
      </c>
      <c r="I296" s="16"/>
      <c r="J296" s="18" t="str">
        <f>IF(A296="","",COUNTIF(Artistes!$G$2:$G$301,A296))</f>
        <v/>
      </c>
      <c r="K296" s="18" t="str">
        <f>IF(A296="","",COUNTIF(Œuvres!$F$2:$F$301,A296))</f>
        <v/>
      </c>
      <c r="L296" s="16"/>
    </row>
    <row r="297" spans="1:12" x14ac:dyDescent="0.25">
      <c r="A297" s="16"/>
      <c r="B297" s="16"/>
      <c r="C297" s="16"/>
      <c r="D297" s="16"/>
      <c r="E297" s="16"/>
      <c r="F297" s="16"/>
      <c r="G297" s="16"/>
      <c r="H297" s="18" t="str">
        <f t="shared" si="4"/>
        <v/>
      </c>
      <c r="I297" s="16"/>
      <c r="J297" s="18" t="str">
        <f>IF(A297="","",COUNTIF(Artistes!$G$2:$G$301,A297))</f>
        <v/>
      </c>
      <c r="K297" s="18" t="str">
        <f>IF(A297="","",COUNTIF(Œuvres!$F$2:$F$301,A297))</f>
        <v/>
      </c>
      <c r="L297" s="16"/>
    </row>
    <row r="298" spans="1:12" x14ac:dyDescent="0.25">
      <c r="A298" s="16"/>
      <c r="B298" s="16"/>
      <c r="C298" s="16"/>
      <c r="D298" s="16"/>
      <c r="E298" s="16"/>
      <c r="F298" s="16"/>
      <c r="G298" s="16"/>
      <c r="H298" s="18" t="str">
        <f t="shared" si="4"/>
        <v/>
      </c>
      <c r="I298" s="16"/>
      <c r="J298" s="18" t="str">
        <f>IF(A298="","",COUNTIF(Artistes!$G$2:$G$301,A298))</f>
        <v/>
      </c>
      <c r="K298" s="18" t="str">
        <f>IF(A298="","",COUNTIF(Œuvres!$F$2:$F$301,A298))</f>
        <v/>
      </c>
      <c r="L298" s="16"/>
    </row>
    <row r="299" spans="1:12" x14ac:dyDescent="0.25">
      <c r="A299" s="16"/>
      <c r="B299" s="16"/>
      <c r="C299" s="16"/>
      <c r="D299" s="16"/>
      <c r="E299" s="16"/>
      <c r="F299" s="16"/>
      <c r="G299" s="16"/>
      <c r="H299" s="18" t="str">
        <f t="shared" si="4"/>
        <v/>
      </c>
      <c r="I299" s="16"/>
      <c r="J299" s="18" t="str">
        <f>IF(A299="","",COUNTIF(Artistes!$G$2:$G$301,A299))</f>
        <v/>
      </c>
      <c r="K299" s="18" t="str">
        <f>IF(A299="","",COUNTIF(Œuvres!$F$2:$F$301,A299))</f>
        <v/>
      </c>
      <c r="L299" s="16"/>
    </row>
    <row r="300" spans="1:12" x14ac:dyDescent="0.25">
      <c r="A300" s="16"/>
      <c r="B300" s="16"/>
      <c r="C300" s="16"/>
      <c r="D300" s="16"/>
      <c r="E300" s="16"/>
      <c r="F300" s="16"/>
      <c r="G300" s="16"/>
      <c r="H300" s="18" t="str">
        <f t="shared" si="4"/>
        <v/>
      </c>
      <c r="I300" s="16"/>
      <c r="J300" s="18" t="str">
        <f>IF(A300="","",COUNTIF(Artistes!$G$2:$G$301,A300))</f>
        <v/>
      </c>
      <c r="K300" s="18" t="str">
        <f>IF(A300="","",COUNTIF(Œuvres!$F$2:$F$301,A300))</f>
        <v/>
      </c>
      <c r="L300" s="16"/>
    </row>
    <row r="301" spans="1:12" x14ac:dyDescent="0.25">
      <c r="A301" s="16"/>
      <c r="B301" s="16"/>
      <c r="C301" s="16"/>
      <c r="D301" s="16"/>
      <c r="E301" s="16"/>
      <c r="F301" s="16"/>
      <c r="G301" s="16"/>
      <c r="H301" s="18" t="str">
        <f t="shared" si="4"/>
        <v/>
      </c>
      <c r="I301" s="16"/>
      <c r="J301" s="18" t="str">
        <f>IF(A301="","",COUNTIF(Artistes!$G$2:$G$301,A301))</f>
        <v/>
      </c>
      <c r="K301" s="18" t="str">
        <f>IF(A301="","",COUNTIF(Œuvres!$F$2:$F$301,A301))</f>
        <v/>
      </c>
      <c r="L301" s="16"/>
    </row>
  </sheetData>
  <autoFilter ref="A1:L301" xr:uid="{00000000-0009-0000-0000-000001000000}"/>
  <dataValidations count="1">
    <dataValidation type="list" allowBlank="1" showErrorMessage="1" errorTitle="Valeur inconnue" error="Choisis une valeur de la liste." sqref="I2:I301" xr:uid="{00000000-0002-0000-0100-000000000000}">
      <formula1>"à rédiger,en cours,rédigée"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301"/>
  <sheetViews>
    <sheetView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ColWidth="8.7109375" defaultRowHeight="15" x14ac:dyDescent="0.25"/>
  <cols>
    <col min="1" max="1" width="14" customWidth="1"/>
    <col min="2" max="2" width="24" customWidth="1"/>
    <col min="3" max="3" width="10" customWidth="1"/>
    <col min="4" max="4" width="8" customWidth="1"/>
    <col min="5" max="5" width="26" customWidth="1"/>
    <col min="6" max="6" width="18" customWidth="1"/>
    <col min="7" max="7" width="22" customWidth="1"/>
    <col min="8" max="8" width="20" customWidth="1"/>
    <col min="9" max="9" width="46" customWidth="1"/>
    <col min="10" max="10" width="22" customWidth="1"/>
    <col min="11" max="11" width="12" customWidth="1"/>
    <col min="12" max="12" width="9" customWidth="1"/>
    <col min="13" max="13" width="14" customWidth="1"/>
    <col min="14" max="14" width="60" customWidth="1"/>
  </cols>
  <sheetData>
    <row r="1" spans="1:14" ht="33.75" customHeight="1" x14ac:dyDescent="0.25">
      <c r="A1" s="13" t="s">
        <v>30</v>
      </c>
      <c r="B1" s="13" t="s">
        <v>88</v>
      </c>
      <c r="C1" s="13" t="s">
        <v>89</v>
      </c>
      <c r="D1" s="13" t="s">
        <v>90</v>
      </c>
      <c r="E1" s="13" t="s">
        <v>91</v>
      </c>
      <c r="F1" s="13" t="s">
        <v>92</v>
      </c>
      <c r="G1" s="13" t="s">
        <v>93</v>
      </c>
      <c r="H1" s="13" t="s">
        <v>94</v>
      </c>
      <c r="I1" s="14" t="s">
        <v>95</v>
      </c>
      <c r="J1" s="15" t="s">
        <v>37</v>
      </c>
      <c r="K1" s="13" t="s">
        <v>22</v>
      </c>
      <c r="L1" s="15" t="s">
        <v>39</v>
      </c>
      <c r="M1" s="15" t="s">
        <v>96</v>
      </c>
      <c r="N1" s="13" t="s">
        <v>40</v>
      </c>
    </row>
    <row r="2" spans="1:14" ht="25.5" x14ac:dyDescent="0.25">
      <c r="A2" s="16" t="s">
        <v>97</v>
      </c>
      <c r="B2" s="16" t="s">
        <v>98</v>
      </c>
      <c r="C2" s="16">
        <v>1840</v>
      </c>
      <c r="D2" s="16">
        <v>1926</v>
      </c>
      <c r="E2" s="16" t="s">
        <v>99</v>
      </c>
      <c r="F2" s="16" t="s">
        <v>100</v>
      </c>
      <c r="G2" s="16" t="s">
        <v>41</v>
      </c>
      <c r="H2" s="16"/>
      <c r="I2" s="16" t="s">
        <v>101</v>
      </c>
      <c r="J2" s="18" t="str">
        <f t="shared" ref="J2:J65" si="0">IF(A2="","","artistes/"&amp;A2&amp;".md")</f>
        <v>artistes/monet.md</v>
      </c>
      <c r="K2" s="16" t="s">
        <v>46</v>
      </c>
      <c r="L2" s="18">
        <f>IF(A2="","",COUNTIF(Œuvres!$C$2:$C$301,A2))</f>
        <v>5</v>
      </c>
      <c r="M2" s="18" t="str">
        <f t="shared" ref="M2:M65" ca="1" si="1">IF(D2="","",IF(YEAR(TODAY())&gt;=D2+71,"Oui (à vérifier)","Non"))</f>
        <v>Oui (à vérifier)</v>
      </c>
      <c r="N2" s="16"/>
    </row>
    <row r="3" spans="1:14" ht="25.5" x14ac:dyDescent="0.25">
      <c r="A3" s="16" t="s">
        <v>102</v>
      </c>
      <c r="B3" s="16" t="s">
        <v>103</v>
      </c>
      <c r="C3" s="16">
        <v>1841</v>
      </c>
      <c r="D3" s="16">
        <v>1919</v>
      </c>
      <c r="E3" s="16" t="s">
        <v>99</v>
      </c>
      <c r="F3" s="16" t="s">
        <v>100</v>
      </c>
      <c r="G3" s="16" t="s">
        <v>41</v>
      </c>
      <c r="H3" s="16"/>
      <c r="I3" s="16" t="s">
        <v>104</v>
      </c>
      <c r="J3" s="18" t="str">
        <f t="shared" si="0"/>
        <v>artistes/renoir.md</v>
      </c>
      <c r="K3" s="16" t="s">
        <v>46</v>
      </c>
      <c r="L3" s="18">
        <f>IF(A3="","",COUNTIF(Œuvres!$C$2:$C$301,A3))</f>
        <v>3</v>
      </c>
      <c r="M3" s="18" t="str">
        <f t="shared" ca="1" si="1"/>
        <v>Oui (à vérifier)</v>
      </c>
      <c r="N3" s="16"/>
    </row>
    <row r="4" spans="1:14" ht="25.5" x14ac:dyDescent="0.25">
      <c r="A4" s="16" t="s">
        <v>105</v>
      </c>
      <c r="B4" s="16" t="s">
        <v>106</v>
      </c>
      <c r="C4" s="16">
        <v>1834</v>
      </c>
      <c r="D4" s="16">
        <v>1917</v>
      </c>
      <c r="E4" s="16" t="s">
        <v>99</v>
      </c>
      <c r="F4" s="16" t="s">
        <v>100</v>
      </c>
      <c r="G4" s="16" t="s">
        <v>41</v>
      </c>
      <c r="H4" s="16"/>
      <c r="I4" s="16" t="s">
        <v>107</v>
      </c>
      <c r="J4" s="18" t="str">
        <f t="shared" si="0"/>
        <v>artistes/degas.md</v>
      </c>
      <c r="K4" s="16" t="s">
        <v>46</v>
      </c>
      <c r="L4" s="18">
        <f>IF(A4="","",COUNTIF(Œuvres!$C$2:$C$301,A4))</f>
        <v>3</v>
      </c>
      <c r="M4" s="18" t="str">
        <f t="shared" ca="1" si="1"/>
        <v>Oui (à vérifier)</v>
      </c>
      <c r="N4" s="16"/>
    </row>
    <row r="5" spans="1:14" ht="25.5" x14ac:dyDescent="0.25">
      <c r="A5" s="16" t="s">
        <v>108</v>
      </c>
      <c r="B5" s="16" t="s">
        <v>109</v>
      </c>
      <c r="C5" s="16">
        <v>1830</v>
      </c>
      <c r="D5" s="16">
        <v>1903</v>
      </c>
      <c r="E5" s="16" t="s">
        <v>110</v>
      </c>
      <c r="F5" s="16" t="s">
        <v>100</v>
      </c>
      <c r="G5" s="16" t="s">
        <v>41</v>
      </c>
      <c r="H5" s="16" t="s">
        <v>48</v>
      </c>
      <c r="I5" s="16" t="s">
        <v>111</v>
      </c>
      <c r="J5" s="18" t="str">
        <f t="shared" si="0"/>
        <v>artistes/pissarro.md</v>
      </c>
      <c r="K5" s="16" t="s">
        <v>46</v>
      </c>
      <c r="L5" s="18">
        <f>IF(A5="","",COUNTIF(Œuvres!$C$2:$C$301,A5))</f>
        <v>3</v>
      </c>
      <c r="M5" s="18" t="str">
        <f t="shared" ca="1" si="1"/>
        <v>Oui (à vérifier)</v>
      </c>
      <c r="N5" s="16"/>
    </row>
    <row r="6" spans="1:14" ht="25.5" x14ac:dyDescent="0.25">
      <c r="A6" s="16" t="s">
        <v>112</v>
      </c>
      <c r="B6" s="16" t="s">
        <v>113</v>
      </c>
      <c r="C6" s="16">
        <v>1841</v>
      </c>
      <c r="D6" s="16">
        <v>1895</v>
      </c>
      <c r="E6" s="16" t="s">
        <v>99</v>
      </c>
      <c r="F6" s="16" t="s">
        <v>100</v>
      </c>
      <c r="G6" s="16" t="s">
        <v>41</v>
      </c>
      <c r="H6" s="16"/>
      <c r="I6" s="16" t="s">
        <v>114</v>
      </c>
      <c r="J6" s="18" t="str">
        <f t="shared" si="0"/>
        <v>artistes/morisot.md</v>
      </c>
      <c r="K6" s="16" t="s">
        <v>46</v>
      </c>
      <c r="L6" s="18">
        <f>IF(A6="","",COUNTIF(Œuvres!$C$2:$C$301,A6))</f>
        <v>1</v>
      </c>
      <c r="M6" s="18" t="str">
        <f t="shared" ca="1" si="1"/>
        <v>Oui (à vérifier)</v>
      </c>
      <c r="N6" s="19" t="s">
        <v>115</v>
      </c>
    </row>
    <row r="7" spans="1:14" x14ac:dyDescent="0.25">
      <c r="A7" s="16" t="s">
        <v>116</v>
      </c>
      <c r="B7" s="16" t="s">
        <v>117</v>
      </c>
      <c r="C7" s="16">
        <v>1853</v>
      </c>
      <c r="D7" s="16">
        <v>1890</v>
      </c>
      <c r="E7" s="16" t="s">
        <v>118</v>
      </c>
      <c r="F7" s="16" t="s">
        <v>100</v>
      </c>
      <c r="G7" s="16" t="s">
        <v>48</v>
      </c>
      <c r="H7" s="16"/>
      <c r="I7" s="16" t="s">
        <v>119</v>
      </c>
      <c r="J7" s="18" t="str">
        <f t="shared" si="0"/>
        <v>artistes/van-gogh.md</v>
      </c>
      <c r="K7" s="16" t="s">
        <v>46</v>
      </c>
      <c r="L7" s="18">
        <f>IF(A7="","",COUNTIF(Œuvres!$C$2:$C$301,A7))</f>
        <v>4</v>
      </c>
      <c r="M7" s="18" t="str">
        <f t="shared" ca="1" si="1"/>
        <v>Oui (à vérifier)</v>
      </c>
      <c r="N7" s="16"/>
    </row>
    <row r="8" spans="1:14" ht="25.5" x14ac:dyDescent="0.25">
      <c r="A8" s="16" t="s">
        <v>120</v>
      </c>
      <c r="B8" s="16" t="s">
        <v>121</v>
      </c>
      <c r="C8" s="16">
        <v>1839</v>
      </c>
      <c r="D8" s="16">
        <v>1906</v>
      </c>
      <c r="E8" s="16" t="s">
        <v>99</v>
      </c>
      <c r="F8" s="16" t="s">
        <v>100</v>
      </c>
      <c r="G8" s="16" t="s">
        <v>48</v>
      </c>
      <c r="H8" s="16" t="s">
        <v>41</v>
      </c>
      <c r="I8" s="16" t="s">
        <v>122</v>
      </c>
      <c r="J8" s="18" t="str">
        <f t="shared" si="0"/>
        <v>artistes/cezanne.md</v>
      </c>
      <c r="K8" s="16" t="s">
        <v>46</v>
      </c>
      <c r="L8" s="18">
        <f>IF(A8="","",COUNTIF(Œuvres!$C$2:$C$301,A8))</f>
        <v>4</v>
      </c>
      <c r="M8" s="18" t="str">
        <f t="shared" ca="1" si="1"/>
        <v>Oui (à vérifier)</v>
      </c>
      <c r="N8" s="16"/>
    </row>
    <row r="9" spans="1:14" ht="25.5" x14ac:dyDescent="0.25">
      <c r="A9" s="16" t="s">
        <v>123</v>
      </c>
      <c r="B9" s="16" t="s">
        <v>124</v>
      </c>
      <c r="C9" s="16">
        <v>1848</v>
      </c>
      <c r="D9" s="16">
        <v>1903</v>
      </c>
      <c r="E9" s="16" t="s">
        <v>99</v>
      </c>
      <c r="F9" s="16" t="s">
        <v>100</v>
      </c>
      <c r="G9" s="16" t="s">
        <v>48</v>
      </c>
      <c r="H9" s="16"/>
      <c r="I9" s="16" t="s">
        <v>125</v>
      </c>
      <c r="J9" s="18" t="str">
        <f t="shared" si="0"/>
        <v>artistes/gauguin.md</v>
      </c>
      <c r="K9" s="16" t="s">
        <v>46</v>
      </c>
      <c r="L9" s="18">
        <f>IF(A9="","",COUNTIF(Œuvres!$C$2:$C$301,A9))</f>
        <v>3</v>
      </c>
      <c r="M9" s="18" t="str">
        <f t="shared" ca="1" si="1"/>
        <v>Oui (à vérifier)</v>
      </c>
      <c r="N9" s="16"/>
    </row>
    <row r="10" spans="1:14" ht="25.5" x14ac:dyDescent="0.25">
      <c r="A10" s="16" t="s">
        <v>126</v>
      </c>
      <c r="B10" s="16" t="s">
        <v>127</v>
      </c>
      <c r="C10" s="16">
        <v>1859</v>
      </c>
      <c r="D10" s="16">
        <v>1891</v>
      </c>
      <c r="E10" s="16" t="s">
        <v>99</v>
      </c>
      <c r="F10" s="16" t="s">
        <v>100</v>
      </c>
      <c r="G10" s="16" t="s">
        <v>48</v>
      </c>
      <c r="H10" s="16" t="s">
        <v>128</v>
      </c>
      <c r="I10" s="16" t="s">
        <v>129</v>
      </c>
      <c r="J10" s="18" t="str">
        <f t="shared" si="0"/>
        <v>artistes/seurat.md</v>
      </c>
      <c r="K10" s="16" t="s">
        <v>46</v>
      </c>
      <c r="L10" s="18">
        <f>IF(A10="","",COUNTIF(Œuvres!$C$2:$C$301,A10))</f>
        <v>3</v>
      </c>
      <c r="M10" s="18" t="str">
        <f t="shared" ca="1" si="1"/>
        <v>Oui (à vérifier)</v>
      </c>
      <c r="N10" s="16"/>
    </row>
    <row r="11" spans="1:14" ht="25.5" x14ac:dyDescent="0.25">
      <c r="A11" s="16" t="s">
        <v>130</v>
      </c>
      <c r="B11" s="16" t="s">
        <v>131</v>
      </c>
      <c r="C11" s="16">
        <v>1869</v>
      </c>
      <c r="D11" s="16">
        <v>1954</v>
      </c>
      <c r="E11" s="16" t="s">
        <v>99</v>
      </c>
      <c r="F11" s="16" t="s">
        <v>100</v>
      </c>
      <c r="G11" s="16" t="s">
        <v>54</v>
      </c>
      <c r="H11" s="16"/>
      <c r="I11" s="16" t="s">
        <v>132</v>
      </c>
      <c r="J11" s="18" t="str">
        <f t="shared" si="0"/>
        <v>artistes/matisse.md</v>
      </c>
      <c r="K11" s="16" t="s">
        <v>46</v>
      </c>
      <c r="L11" s="18">
        <f>IF(A11="","",COUNTIF(Œuvres!$C$2:$C$301,A11))</f>
        <v>6</v>
      </c>
      <c r="M11" s="18" t="str">
        <f t="shared" ca="1" si="1"/>
        <v>Oui (à vérifier)</v>
      </c>
      <c r="N11" s="16"/>
    </row>
    <row r="12" spans="1:14" ht="25.5" x14ac:dyDescent="0.25">
      <c r="A12" s="16" t="s">
        <v>133</v>
      </c>
      <c r="B12" s="16" t="s">
        <v>134</v>
      </c>
      <c r="C12" s="16">
        <v>1880</v>
      </c>
      <c r="D12" s="16">
        <v>1954</v>
      </c>
      <c r="E12" s="16" t="s">
        <v>99</v>
      </c>
      <c r="F12" s="16" t="s">
        <v>100</v>
      </c>
      <c r="G12" s="16" t="s">
        <v>54</v>
      </c>
      <c r="H12" s="16"/>
      <c r="I12" s="16" t="s">
        <v>135</v>
      </c>
      <c r="J12" s="18" t="str">
        <f t="shared" si="0"/>
        <v>artistes/derain.md</v>
      </c>
      <c r="K12" s="16" t="s">
        <v>46</v>
      </c>
      <c r="L12" s="18">
        <f>IF(A12="","",COUNTIF(Œuvres!$C$2:$C$301,A12))</f>
        <v>3</v>
      </c>
      <c r="M12" s="18" t="str">
        <f t="shared" ca="1" si="1"/>
        <v>Oui (à vérifier)</v>
      </c>
      <c r="N12" s="16"/>
    </row>
    <row r="13" spans="1:14" ht="25.5" x14ac:dyDescent="0.25">
      <c r="A13" s="16" t="s">
        <v>136</v>
      </c>
      <c r="B13" s="16" t="s">
        <v>137</v>
      </c>
      <c r="C13" s="16">
        <v>1876</v>
      </c>
      <c r="D13" s="16">
        <v>1958</v>
      </c>
      <c r="E13" s="16" t="s">
        <v>99</v>
      </c>
      <c r="F13" s="16" t="s">
        <v>100</v>
      </c>
      <c r="G13" s="16" t="s">
        <v>54</v>
      </c>
      <c r="H13" s="16"/>
      <c r="I13" s="16" t="s">
        <v>138</v>
      </c>
      <c r="J13" s="18" t="str">
        <f t="shared" si="0"/>
        <v>artistes/vlaminck.md</v>
      </c>
      <c r="K13" s="16" t="s">
        <v>46</v>
      </c>
      <c r="L13" s="18">
        <f>IF(A13="","",COUNTIF(Œuvres!$C$2:$C$301,A13))</f>
        <v>3</v>
      </c>
      <c r="M13" s="18" t="str">
        <f t="shared" ca="1" si="1"/>
        <v>Non</v>
      </c>
      <c r="N13" s="16"/>
    </row>
    <row r="14" spans="1:14" ht="25.5" x14ac:dyDescent="0.25">
      <c r="A14" s="16" t="s">
        <v>139</v>
      </c>
      <c r="B14" s="16" t="s">
        <v>140</v>
      </c>
      <c r="C14" s="16">
        <v>1881</v>
      </c>
      <c r="D14" s="16">
        <v>1973</v>
      </c>
      <c r="E14" s="16" t="s">
        <v>141</v>
      </c>
      <c r="F14" s="16" t="s">
        <v>100</v>
      </c>
      <c r="G14" s="16" t="s">
        <v>58</v>
      </c>
      <c r="H14" s="16" t="s">
        <v>142</v>
      </c>
      <c r="I14" s="16" t="s">
        <v>143</v>
      </c>
      <c r="J14" s="18" t="str">
        <f t="shared" si="0"/>
        <v>artistes/picasso.md</v>
      </c>
      <c r="K14" s="16" t="s">
        <v>46</v>
      </c>
      <c r="L14" s="18">
        <f>IF(A14="","",COUNTIF(Œuvres!$C$2:$C$301,A14))</f>
        <v>4</v>
      </c>
      <c r="M14" s="18" t="str">
        <f t="shared" ca="1" si="1"/>
        <v>Non</v>
      </c>
      <c r="N14" s="16"/>
    </row>
    <row r="15" spans="1:14" ht="25.5" x14ac:dyDescent="0.25">
      <c r="A15" s="16" t="s">
        <v>144</v>
      </c>
      <c r="B15" s="16" t="s">
        <v>145</v>
      </c>
      <c r="C15" s="16">
        <v>1882</v>
      </c>
      <c r="D15" s="16">
        <v>1963</v>
      </c>
      <c r="E15" s="16" t="s">
        <v>99</v>
      </c>
      <c r="F15" s="16" t="s">
        <v>100</v>
      </c>
      <c r="G15" s="16" t="s">
        <v>58</v>
      </c>
      <c r="H15" s="16" t="s">
        <v>54</v>
      </c>
      <c r="I15" s="16" t="s">
        <v>146</v>
      </c>
      <c r="J15" s="18" t="str">
        <f t="shared" si="0"/>
        <v>artistes/braque.md</v>
      </c>
      <c r="K15" s="16" t="s">
        <v>46</v>
      </c>
      <c r="L15" s="18">
        <f>IF(A15="","",COUNTIF(Œuvres!$C$2:$C$301,A15))</f>
        <v>4</v>
      </c>
      <c r="M15" s="18" t="str">
        <f t="shared" ca="1" si="1"/>
        <v>Non</v>
      </c>
      <c r="N15" s="16"/>
    </row>
    <row r="16" spans="1:14" ht="25.5" x14ac:dyDescent="0.25">
      <c r="A16" s="16" t="s">
        <v>147</v>
      </c>
      <c r="B16" s="16" t="s">
        <v>148</v>
      </c>
      <c r="C16" s="16">
        <v>1887</v>
      </c>
      <c r="D16" s="16">
        <v>1927</v>
      </c>
      <c r="E16" s="16" t="s">
        <v>141</v>
      </c>
      <c r="F16" s="16" t="s">
        <v>100</v>
      </c>
      <c r="G16" s="16" t="s">
        <v>58</v>
      </c>
      <c r="H16" s="16"/>
      <c r="I16" s="16" t="s">
        <v>149</v>
      </c>
      <c r="J16" s="18" t="str">
        <f t="shared" si="0"/>
        <v>artistes/gris.md</v>
      </c>
      <c r="K16" s="16" t="s">
        <v>46</v>
      </c>
      <c r="L16" s="18">
        <f>IF(A16="","",COUNTIF(Œuvres!$C$2:$C$301,A16))</f>
        <v>3</v>
      </c>
      <c r="M16" s="18" t="str">
        <f t="shared" ca="1" si="1"/>
        <v>Oui (à vérifier)</v>
      </c>
      <c r="N16" s="16"/>
    </row>
    <row r="17" spans="1:14" ht="25.5" x14ac:dyDescent="0.25">
      <c r="A17" s="16" t="s">
        <v>150</v>
      </c>
      <c r="B17" s="16" t="s">
        <v>151</v>
      </c>
      <c r="C17" s="16">
        <v>1880</v>
      </c>
      <c r="D17" s="16">
        <v>1938</v>
      </c>
      <c r="E17" s="16" t="s">
        <v>152</v>
      </c>
      <c r="F17" s="16" t="s">
        <v>100</v>
      </c>
      <c r="G17" s="16" t="s">
        <v>62</v>
      </c>
      <c r="H17" s="16"/>
      <c r="I17" s="16" t="s">
        <v>153</v>
      </c>
      <c r="J17" s="18" t="str">
        <f t="shared" si="0"/>
        <v>artistes/kirchner.md</v>
      </c>
      <c r="K17" s="16" t="s">
        <v>46</v>
      </c>
      <c r="L17" s="18">
        <f>IF(A17="","",COUNTIF(Œuvres!$C$2:$C$301,A17))</f>
        <v>3</v>
      </c>
      <c r="M17" s="18" t="str">
        <f t="shared" ca="1" si="1"/>
        <v>Oui (à vérifier)</v>
      </c>
      <c r="N17" s="19" t="s">
        <v>154</v>
      </c>
    </row>
    <row r="18" spans="1:14" ht="38.25" x14ac:dyDescent="0.25">
      <c r="A18" s="16" t="s">
        <v>155</v>
      </c>
      <c r="B18" s="16" t="s">
        <v>156</v>
      </c>
      <c r="C18" s="16">
        <v>1867</v>
      </c>
      <c r="D18" s="16">
        <v>1956</v>
      </c>
      <c r="E18" s="16" t="s">
        <v>157</v>
      </c>
      <c r="F18" s="16" t="s">
        <v>100</v>
      </c>
      <c r="G18" s="16" t="s">
        <v>62</v>
      </c>
      <c r="H18" s="16"/>
      <c r="I18" s="16" t="s">
        <v>158</v>
      </c>
      <c r="J18" s="18" t="str">
        <f t="shared" si="0"/>
        <v>artistes/nolde.md</v>
      </c>
      <c r="K18" s="16" t="s">
        <v>46</v>
      </c>
      <c r="L18" s="18">
        <f>IF(A18="","",COUNTIF(Œuvres!$C$2:$C$301,A18))</f>
        <v>2</v>
      </c>
      <c r="M18" s="18" t="str">
        <f t="shared" ca="1" si="1"/>
        <v>Non</v>
      </c>
      <c r="N18" s="19" t="s">
        <v>159</v>
      </c>
    </row>
    <row r="19" spans="1:14" ht="25.5" x14ac:dyDescent="0.25">
      <c r="A19" s="16" t="s">
        <v>160</v>
      </c>
      <c r="B19" s="16" t="s">
        <v>161</v>
      </c>
      <c r="C19" s="16">
        <v>1880</v>
      </c>
      <c r="D19" s="16">
        <v>1916</v>
      </c>
      <c r="E19" s="16" t="s">
        <v>152</v>
      </c>
      <c r="F19" s="16" t="s">
        <v>100</v>
      </c>
      <c r="G19" s="16" t="s">
        <v>62</v>
      </c>
      <c r="H19" s="16"/>
      <c r="I19" s="16" t="s">
        <v>162</v>
      </c>
      <c r="J19" s="18" t="str">
        <f t="shared" si="0"/>
        <v>artistes/marc.md</v>
      </c>
      <c r="K19" s="16" t="s">
        <v>46</v>
      </c>
      <c r="L19" s="18">
        <f>IF(A19="","",COUNTIF(Œuvres!$C$2:$C$301,A19))</f>
        <v>3</v>
      </c>
      <c r="M19" s="18" t="str">
        <f t="shared" ca="1" si="1"/>
        <v>Oui (à vérifier)</v>
      </c>
      <c r="N19" s="16"/>
    </row>
    <row r="20" spans="1:14" ht="25.5" x14ac:dyDescent="0.25">
      <c r="A20" s="16" t="s">
        <v>163</v>
      </c>
      <c r="B20" s="16" t="s">
        <v>164</v>
      </c>
      <c r="C20" s="16">
        <v>1866</v>
      </c>
      <c r="D20" s="16">
        <v>1944</v>
      </c>
      <c r="E20" s="16" t="s">
        <v>165</v>
      </c>
      <c r="F20" s="16" t="s">
        <v>166</v>
      </c>
      <c r="G20" s="16" t="s">
        <v>67</v>
      </c>
      <c r="H20" s="16" t="s">
        <v>62</v>
      </c>
      <c r="I20" s="16" t="s">
        <v>167</v>
      </c>
      <c r="J20" s="18" t="str">
        <f t="shared" si="0"/>
        <v>artistes/kandinsky.md</v>
      </c>
      <c r="K20" s="16" t="s">
        <v>46</v>
      </c>
      <c r="L20" s="18">
        <f>IF(A20="","",COUNTIF(Œuvres!$C$2:$C$301,A20))</f>
        <v>4</v>
      </c>
      <c r="M20" s="18" t="str">
        <f t="shared" ca="1" si="1"/>
        <v>Oui (à vérifier)</v>
      </c>
      <c r="N20" s="16"/>
    </row>
    <row r="21" spans="1:14" ht="25.5" x14ac:dyDescent="0.25">
      <c r="A21" s="16" t="s">
        <v>168</v>
      </c>
      <c r="B21" s="16" t="s">
        <v>169</v>
      </c>
      <c r="C21" s="16">
        <v>1879</v>
      </c>
      <c r="D21" s="16">
        <v>1935</v>
      </c>
      <c r="E21" s="16" t="s">
        <v>170</v>
      </c>
      <c r="F21" s="16" t="s">
        <v>166</v>
      </c>
      <c r="G21" s="16" t="s">
        <v>67</v>
      </c>
      <c r="H21" s="16"/>
      <c r="I21" s="16" t="s">
        <v>171</v>
      </c>
      <c r="J21" s="18" t="str">
        <f t="shared" si="0"/>
        <v>artistes/malevitch.md</v>
      </c>
      <c r="K21" s="16" t="s">
        <v>46</v>
      </c>
      <c r="L21" s="18">
        <f>IF(A21="","",COUNTIF(Œuvres!$C$2:$C$301,A21))</f>
        <v>4</v>
      </c>
      <c r="M21" s="18" t="str">
        <f t="shared" ca="1" si="1"/>
        <v>Oui (à vérifier)</v>
      </c>
      <c r="N21" s="16"/>
    </row>
    <row r="22" spans="1:14" ht="25.5" x14ac:dyDescent="0.25">
      <c r="A22" s="16" t="s">
        <v>172</v>
      </c>
      <c r="B22" s="16" t="s">
        <v>173</v>
      </c>
      <c r="C22" s="16">
        <v>1872</v>
      </c>
      <c r="D22" s="16">
        <v>1944</v>
      </c>
      <c r="E22" s="16" t="s">
        <v>118</v>
      </c>
      <c r="F22" s="16" t="s">
        <v>166</v>
      </c>
      <c r="G22" s="16" t="s">
        <v>67</v>
      </c>
      <c r="H22" s="16"/>
      <c r="I22" s="16" t="s">
        <v>174</v>
      </c>
      <c r="J22" s="18" t="str">
        <f t="shared" si="0"/>
        <v>artistes/mondrian.md</v>
      </c>
      <c r="K22" s="16" t="s">
        <v>46</v>
      </c>
      <c r="L22" s="18">
        <f>IF(A22="","",COUNTIF(Œuvres!$C$2:$C$301,A22))</f>
        <v>3</v>
      </c>
      <c r="M22" s="18" t="str">
        <f t="shared" ca="1" si="1"/>
        <v>Oui (à vérifier)</v>
      </c>
      <c r="N22" s="16"/>
    </row>
    <row r="23" spans="1:14" ht="25.5" x14ac:dyDescent="0.25">
      <c r="A23" s="16" t="s">
        <v>175</v>
      </c>
      <c r="B23" s="16" t="s">
        <v>176</v>
      </c>
      <c r="C23" s="16">
        <v>1871</v>
      </c>
      <c r="D23" s="16">
        <v>1957</v>
      </c>
      <c r="E23" s="16" t="s">
        <v>177</v>
      </c>
      <c r="F23" s="16" t="s">
        <v>100</v>
      </c>
      <c r="G23" s="16" t="s">
        <v>67</v>
      </c>
      <c r="H23" s="16"/>
      <c r="I23" s="16" t="s">
        <v>178</v>
      </c>
      <c r="J23" s="18" t="str">
        <f t="shared" si="0"/>
        <v>artistes/kupka.md</v>
      </c>
      <c r="K23" s="16" t="s">
        <v>46</v>
      </c>
      <c r="L23" s="18">
        <f>IF(A23="","",COUNTIF(Œuvres!$C$2:$C$301,A23))</f>
        <v>3</v>
      </c>
      <c r="M23" s="18" t="str">
        <f t="shared" ca="1" si="1"/>
        <v>Non</v>
      </c>
      <c r="N23" s="16"/>
    </row>
    <row r="24" spans="1:14" x14ac:dyDescent="0.25">
      <c r="A24" s="16" t="s">
        <v>179</v>
      </c>
      <c r="B24" s="16" t="s">
        <v>180</v>
      </c>
      <c r="C24" s="16">
        <v>1896</v>
      </c>
      <c r="D24" s="16">
        <v>1963</v>
      </c>
      <c r="E24" s="16" t="s">
        <v>181</v>
      </c>
      <c r="F24" s="16" t="s">
        <v>182</v>
      </c>
      <c r="G24" s="16" t="s">
        <v>73</v>
      </c>
      <c r="H24" s="16" t="s">
        <v>183</v>
      </c>
      <c r="I24" s="16" t="s">
        <v>184</v>
      </c>
      <c r="J24" s="18" t="str">
        <f t="shared" si="0"/>
        <v>artistes/tzara.md</v>
      </c>
      <c r="K24" s="16" t="s">
        <v>46</v>
      </c>
      <c r="L24" s="18">
        <f>IF(A24="","",COUNTIF(Œuvres!$C$2:$C$301,A24))</f>
        <v>3</v>
      </c>
      <c r="M24" s="18" t="str">
        <f t="shared" ca="1" si="1"/>
        <v>Non</v>
      </c>
      <c r="N24" s="16"/>
    </row>
    <row r="25" spans="1:14" ht="25.5" x14ac:dyDescent="0.25">
      <c r="A25" s="16" t="s">
        <v>185</v>
      </c>
      <c r="B25" s="16" t="s">
        <v>186</v>
      </c>
      <c r="C25" s="16">
        <v>1886</v>
      </c>
      <c r="D25" s="16">
        <v>1966</v>
      </c>
      <c r="E25" s="16" t="s">
        <v>187</v>
      </c>
      <c r="F25" s="16" t="s">
        <v>188</v>
      </c>
      <c r="G25" s="16" t="s">
        <v>73</v>
      </c>
      <c r="H25" s="16" t="s">
        <v>183</v>
      </c>
      <c r="I25" s="16" t="s">
        <v>189</v>
      </c>
      <c r="J25" s="18" t="str">
        <f t="shared" si="0"/>
        <v>artistes/arp.md</v>
      </c>
      <c r="K25" s="16" t="s">
        <v>46</v>
      </c>
      <c r="L25" s="18">
        <f>IF(A25="","",COUNTIF(Œuvres!$C$2:$C$301,A25))</f>
        <v>3</v>
      </c>
      <c r="M25" s="18" t="str">
        <f t="shared" ca="1" si="1"/>
        <v>Non</v>
      </c>
      <c r="N25" s="16"/>
    </row>
    <row r="26" spans="1:14" ht="25.5" x14ac:dyDescent="0.25">
      <c r="A26" s="16" t="s">
        <v>190</v>
      </c>
      <c r="B26" s="16" t="s">
        <v>191</v>
      </c>
      <c r="C26" s="16">
        <v>1879</v>
      </c>
      <c r="D26" s="16">
        <v>1953</v>
      </c>
      <c r="E26" s="16" t="s">
        <v>99</v>
      </c>
      <c r="F26" s="16" t="s">
        <v>100</v>
      </c>
      <c r="G26" s="16" t="s">
        <v>73</v>
      </c>
      <c r="H26" s="16"/>
      <c r="I26" s="16" t="s">
        <v>192</v>
      </c>
      <c r="J26" s="18" t="str">
        <f t="shared" si="0"/>
        <v>artistes/picabia.md</v>
      </c>
      <c r="K26" s="16" t="s">
        <v>46</v>
      </c>
      <c r="L26" s="18">
        <f>IF(A26="","",COUNTIF(Œuvres!$C$2:$C$301,A26))</f>
        <v>4</v>
      </c>
      <c r="M26" s="18" t="str">
        <f t="shared" ca="1" si="1"/>
        <v>Oui (à vérifier)</v>
      </c>
      <c r="N26" s="16"/>
    </row>
    <row r="27" spans="1:14" ht="25.5" x14ac:dyDescent="0.25">
      <c r="A27" s="16" t="s">
        <v>193</v>
      </c>
      <c r="B27" s="16" t="s">
        <v>194</v>
      </c>
      <c r="C27" s="16">
        <v>1887</v>
      </c>
      <c r="D27" s="16">
        <v>1968</v>
      </c>
      <c r="E27" s="16" t="s">
        <v>195</v>
      </c>
      <c r="F27" s="16" t="s">
        <v>196</v>
      </c>
      <c r="G27" s="16" t="s">
        <v>73</v>
      </c>
      <c r="H27" s="16"/>
      <c r="I27" s="16" t="s">
        <v>197</v>
      </c>
      <c r="J27" s="18" t="str">
        <f t="shared" si="0"/>
        <v>artistes/duchamp.md</v>
      </c>
      <c r="K27" s="16" t="s">
        <v>46</v>
      </c>
      <c r="L27" s="18">
        <f>IF(A27="","",COUNTIF(Œuvres!$C$2:$C$301,A27))</f>
        <v>2</v>
      </c>
      <c r="M27" s="18" t="str">
        <f t="shared" ca="1" si="1"/>
        <v>Non</v>
      </c>
      <c r="N27" s="19" t="s">
        <v>198</v>
      </c>
    </row>
    <row r="28" spans="1:14" x14ac:dyDescent="0.25">
      <c r="A28" s="16" t="s">
        <v>199</v>
      </c>
      <c r="B28" s="16" t="s">
        <v>200</v>
      </c>
      <c r="C28" s="16">
        <v>1896</v>
      </c>
      <c r="D28" s="16">
        <v>1966</v>
      </c>
      <c r="E28" s="16" t="s">
        <v>99</v>
      </c>
      <c r="F28" s="16" t="s">
        <v>182</v>
      </c>
      <c r="G28" s="16" t="s">
        <v>78</v>
      </c>
      <c r="H28" s="16" t="s">
        <v>73</v>
      </c>
      <c r="I28" s="16" t="s">
        <v>201</v>
      </c>
      <c r="J28" s="18" t="str">
        <f t="shared" si="0"/>
        <v>artistes/breton.md</v>
      </c>
      <c r="K28" s="16" t="s">
        <v>46</v>
      </c>
      <c r="L28" s="18">
        <f>IF(A28="","",COUNTIF(Œuvres!$C$2:$C$301,A28))</f>
        <v>3</v>
      </c>
      <c r="M28" s="18" t="str">
        <f t="shared" ca="1" si="1"/>
        <v>Non</v>
      </c>
      <c r="N28" s="16"/>
    </row>
    <row r="29" spans="1:14" ht="25.5" x14ac:dyDescent="0.25">
      <c r="A29" s="16" t="s">
        <v>202</v>
      </c>
      <c r="B29" s="16" t="s">
        <v>203</v>
      </c>
      <c r="C29" s="16">
        <v>1904</v>
      </c>
      <c r="D29" s="16">
        <v>1989</v>
      </c>
      <c r="E29" s="16" t="s">
        <v>141</v>
      </c>
      <c r="F29" s="16" t="s">
        <v>100</v>
      </c>
      <c r="G29" s="16" t="s">
        <v>78</v>
      </c>
      <c r="H29" s="16"/>
      <c r="I29" s="16" t="s">
        <v>204</v>
      </c>
      <c r="J29" s="18" t="str">
        <f t="shared" si="0"/>
        <v>artistes/dali.md</v>
      </c>
      <c r="K29" s="16" t="s">
        <v>46</v>
      </c>
      <c r="L29" s="18">
        <f>IF(A29="","",COUNTIF(Œuvres!$C$2:$C$301,A29))</f>
        <v>4</v>
      </c>
      <c r="M29" s="18" t="str">
        <f t="shared" ca="1" si="1"/>
        <v>Non</v>
      </c>
      <c r="N29" s="16"/>
    </row>
    <row r="30" spans="1:14" ht="25.5" x14ac:dyDescent="0.25">
      <c r="A30" s="16" t="s">
        <v>205</v>
      </c>
      <c r="B30" s="16" t="s">
        <v>206</v>
      </c>
      <c r="C30" s="16">
        <v>1891</v>
      </c>
      <c r="D30" s="16">
        <v>1976</v>
      </c>
      <c r="E30" s="16" t="s">
        <v>207</v>
      </c>
      <c r="F30" s="16" t="s">
        <v>100</v>
      </c>
      <c r="G30" s="16" t="s">
        <v>78</v>
      </c>
      <c r="H30" s="16" t="s">
        <v>73</v>
      </c>
      <c r="I30" s="16" t="s">
        <v>208</v>
      </c>
      <c r="J30" s="18" t="str">
        <f t="shared" si="0"/>
        <v>artistes/ernst.md</v>
      </c>
      <c r="K30" s="16" t="s">
        <v>46</v>
      </c>
      <c r="L30" s="18">
        <f>IF(A30="","",COUNTIF(Œuvres!$C$2:$C$301,A30))</f>
        <v>2</v>
      </c>
      <c r="M30" s="18" t="str">
        <f t="shared" ca="1" si="1"/>
        <v>Non</v>
      </c>
      <c r="N30" s="16"/>
    </row>
    <row r="31" spans="1:14" ht="25.5" x14ac:dyDescent="0.25">
      <c r="A31" s="16" t="s">
        <v>209</v>
      </c>
      <c r="B31" s="16" t="s">
        <v>210</v>
      </c>
      <c r="C31" s="16">
        <v>1898</v>
      </c>
      <c r="D31" s="16">
        <v>1967</v>
      </c>
      <c r="E31" s="16" t="s">
        <v>211</v>
      </c>
      <c r="F31" s="16" t="s">
        <v>100</v>
      </c>
      <c r="G31" s="16" t="s">
        <v>78</v>
      </c>
      <c r="H31" s="16"/>
      <c r="I31" s="16" t="s">
        <v>212</v>
      </c>
      <c r="J31" s="18" t="str">
        <f t="shared" si="0"/>
        <v>artistes/magritte.md</v>
      </c>
      <c r="K31" s="16" t="s">
        <v>46</v>
      </c>
      <c r="L31" s="18">
        <f>IF(A31="","",COUNTIF(Œuvres!$C$2:$C$301,A31))</f>
        <v>1</v>
      </c>
      <c r="M31" s="18" t="str">
        <f t="shared" ca="1" si="1"/>
        <v>Non</v>
      </c>
      <c r="N31" s="19" t="s">
        <v>198</v>
      </c>
    </row>
    <row r="32" spans="1:14" ht="25.5" x14ac:dyDescent="0.25">
      <c r="A32" s="16" t="s">
        <v>213</v>
      </c>
      <c r="B32" s="16" t="s">
        <v>214</v>
      </c>
      <c r="C32" s="16">
        <v>1912</v>
      </c>
      <c r="D32" s="16">
        <v>1956</v>
      </c>
      <c r="E32" s="16" t="s">
        <v>215</v>
      </c>
      <c r="F32" s="16" t="s">
        <v>100</v>
      </c>
      <c r="G32" s="16" t="s">
        <v>83</v>
      </c>
      <c r="H32" s="16"/>
      <c r="I32" s="16" t="s">
        <v>216</v>
      </c>
      <c r="J32" s="18" t="str">
        <f t="shared" si="0"/>
        <v>artistes/pollock.md</v>
      </c>
      <c r="K32" s="16" t="s">
        <v>46</v>
      </c>
      <c r="L32" s="18">
        <f>IF(A32="","",COUNTIF(Œuvres!$C$2:$C$301,A32))</f>
        <v>3</v>
      </c>
      <c r="M32" s="18" t="str">
        <f t="shared" ca="1" si="1"/>
        <v>Non</v>
      </c>
      <c r="N32" s="16"/>
    </row>
    <row r="33" spans="1:14" ht="25.5" x14ac:dyDescent="0.25">
      <c r="A33" s="16" t="s">
        <v>217</v>
      </c>
      <c r="B33" s="16" t="s">
        <v>218</v>
      </c>
      <c r="C33" s="16">
        <v>1903</v>
      </c>
      <c r="D33" s="16">
        <v>1970</v>
      </c>
      <c r="E33" s="16" t="s">
        <v>219</v>
      </c>
      <c r="F33" s="16" t="s">
        <v>100</v>
      </c>
      <c r="G33" s="16" t="s">
        <v>83</v>
      </c>
      <c r="H33" s="16"/>
      <c r="I33" s="16" t="s">
        <v>220</v>
      </c>
      <c r="J33" s="18" t="str">
        <f t="shared" si="0"/>
        <v>artistes/rothko.md</v>
      </c>
      <c r="K33" s="16" t="s">
        <v>46</v>
      </c>
      <c r="L33" s="18">
        <f>IF(A33="","",COUNTIF(Œuvres!$C$2:$C$301,A33))</f>
        <v>3</v>
      </c>
      <c r="M33" s="18" t="str">
        <f t="shared" ca="1" si="1"/>
        <v>Non</v>
      </c>
      <c r="N33" s="16"/>
    </row>
    <row r="34" spans="1:14" ht="25.5" x14ac:dyDescent="0.25">
      <c r="A34" s="16" t="s">
        <v>221</v>
      </c>
      <c r="B34" s="16" t="s">
        <v>222</v>
      </c>
      <c r="C34" s="16">
        <v>1905</v>
      </c>
      <c r="D34" s="16">
        <v>1970</v>
      </c>
      <c r="E34" s="16" t="s">
        <v>215</v>
      </c>
      <c r="F34" s="16" t="s">
        <v>100</v>
      </c>
      <c r="G34" s="16" t="s">
        <v>83</v>
      </c>
      <c r="H34" s="16"/>
      <c r="I34" s="16" t="s">
        <v>223</v>
      </c>
      <c r="J34" s="18" t="str">
        <f t="shared" si="0"/>
        <v>artistes/newman.md</v>
      </c>
      <c r="K34" s="16" t="s">
        <v>46</v>
      </c>
      <c r="L34" s="18">
        <f>IF(A34="","",COUNTIF(Œuvres!$C$2:$C$301,A34))</f>
        <v>1</v>
      </c>
      <c r="M34" s="18" t="str">
        <f t="shared" ca="1" si="1"/>
        <v>Non</v>
      </c>
      <c r="N34" s="19" t="s">
        <v>224</v>
      </c>
    </row>
    <row r="35" spans="1:14" ht="25.5" x14ac:dyDescent="0.25">
      <c r="A35" s="16" t="s">
        <v>225</v>
      </c>
      <c r="B35" s="16" t="s">
        <v>226</v>
      </c>
      <c r="C35" s="16">
        <v>1904</v>
      </c>
      <c r="D35" s="16">
        <v>1997</v>
      </c>
      <c r="E35" s="16" t="s">
        <v>227</v>
      </c>
      <c r="F35" s="16" t="s">
        <v>100</v>
      </c>
      <c r="G35" s="16" t="s">
        <v>83</v>
      </c>
      <c r="H35" s="16"/>
      <c r="I35" s="16" t="s">
        <v>228</v>
      </c>
      <c r="J35" s="18" t="str">
        <f t="shared" si="0"/>
        <v>artistes/de-kooning.md</v>
      </c>
      <c r="K35" s="16" t="s">
        <v>46</v>
      </c>
      <c r="L35" s="18">
        <f>IF(A35="","",COUNTIF(Œuvres!$C$2:$C$301,A35))</f>
        <v>1</v>
      </c>
      <c r="M35" s="18" t="str">
        <f t="shared" ca="1" si="1"/>
        <v>Non</v>
      </c>
      <c r="N35" s="19" t="s">
        <v>198</v>
      </c>
    </row>
    <row r="36" spans="1:14" x14ac:dyDescent="0.25">
      <c r="A36" s="16"/>
      <c r="B36" s="16"/>
      <c r="C36" s="16"/>
      <c r="D36" s="16"/>
      <c r="E36" s="16"/>
      <c r="F36" s="16"/>
      <c r="G36" s="16"/>
      <c r="H36" s="16"/>
      <c r="I36" s="16"/>
      <c r="J36" s="18" t="str">
        <f t="shared" si="0"/>
        <v/>
      </c>
      <c r="K36" s="16"/>
      <c r="L36" s="18" t="str">
        <f>IF(A36="","",COUNTIF(Œuvres!$C$2:$C$301,A36))</f>
        <v/>
      </c>
      <c r="M36" s="18" t="str">
        <f t="shared" ca="1" si="1"/>
        <v/>
      </c>
      <c r="N36" s="16"/>
    </row>
    <row r="37" spans="1:14" x14ac:dyDescent="0.25">
      <c r="A37" s="16"/>
      <c r="B37" s="16"/>
      <c r="C37" s="16"/>
      <c r="D37" s="16"/>
      <c r="E37" s="16"/>
      <c r="F37" s="16"/>
      <c r="G37" s="16"/>
      <c r="H37" s="16"/>
      <c r="I37" s="16"/>
      <c r="J37" s="18" t="str">
        <f t="shared" si="0"/>
        <v/>
      </c>
      <c r="K37" s="16"/>
      <c r="L37" s="18" t="str">
        <f>IF(A37="","",COUNTIF(Œuvres!$C$2:$C$301,A37))</f>
        <v/>
      </c>
      <c r="M37" s="18" t="str">
        <f t="shared" ca="1" si="1"/>
        <v/>
      </c>
      <c r="N37" s="16"/>
    </row>
    <row r="38" spans="1:14" x14ac:dyDescent="0.25">
      <c r="A38" s="16"/>
      <c r="B38" s="16"/>
      <c r="C38" s="16"/>
      <c r="D38" s="16"/>
      <c r="E38" s="16"/>
      <c r="F38" s="16"/>
      <c r="G38" s="16"/>
      <c r="H38" s="16"/>
      <c r="I38" s="16"/>
      <c r="J38" s="18" t="str">
        <f t="shared" si="0"/>
        <v/>
      </c>
      <c r="K38" s="16"/>
      <c r="L38" s="18" t="str">
        <f>IF(A38="","",COUNTIF(Œuvres!$C$2:$C$301,A38))</f>
        <v/>
      </c>
      <c r="M38" s="18" t="str">
        <f t="shared" ca="1" si="1"/>
        <v/>
      </c>
      <c r="N38" s="16"/>
    </row>
    <row r="39" spans="1:14" x14ac:dyDescent="0.25">
      <c r="A39" s="16"/>
      <c r="B39" s="16"/>
      <c r="C39" s="16"/>
      <c r="D39" s="16"/>
      <c r="E39" s="16"/>
      <c r="F39" s="16"/>
      <c r="G39" s="16"/>
      <c r="H39" s="16"/>
      <c r="I39" s="16"/>
      <c r="J39" s="18" t="str">
        <f t="shared" si="0"/>
        <v/>
      </c>
      <c r="K39" s="16"/>
      <c r="L39" s="18" t="str">
        <f>IF(A39="","",COUNTIF(Œuvres!$C$2:$C$301,A39))</f>
        <v/>
      </c>
      <c r="M39" s="18" t="str">
        <f t="shared" ca="1" si="1"/>
        <v/>
      </c>
      <c r="N39" s="16"/>
    </row>
    <row r="40" spans="1:14" x14ac:dyDescent="0.25">
      <c r="A40" s="16"/>
      <c r="B40" s="16"/>
      <c r="C40" s="16"/>
      <c r="D40" s="16"/>
      <c r="E40" s="16"/>
      <c r="F40" s="16"/>
      <c r="G40" s="16"/>
      <c r="H40" s="16"/>
      <c r="I40" s="16"/>
      <c r="J40" s="18" t="str">
        <f t="shared" si="0"/>
        <v/>
      </c>
      <c r="K40" s="16"/>
      <c r="L40" s="18" t="str">
        <f>IF(A40="","",COUNTIF(Œuvres!$C$2:$C$301,A40))</f>
        <v/>
      </c>
      <c r="M40" s="18" t="str">
        <f t="shared" ca="1" si="1"/>
        <v/>
      </c>
      <c r="N40" s="16"/>
    </row>
    <row r="41" spans="1:14" x14ac:dyDescent="0.25">
      <c r="A41" s="16"/>
      <c r="B41" s="16"/>
      <c r="C41" s="16"/>
      <c r="D41" s="16"/>
      <c r="E41" s="16"/>
      <c r="F41" s="16"/>
      <c r="G41" s="16"/>
      <c r="H41" s="16"/>
      <c r="I41" s="16"/>
      <c r="J41" s="18" t="str">
        <f t="shared" si="0"/>
        <v/>
      </c>
      <c r="K41" s="16"/>
      <c r="L41" s="18" t="str">
        <f>IF(A41="","",COUNTIF(Œuvres!$C$2:$C$301,A41))</f>
        <v/>
      </c>
      <c r="M41" s="18" t="str">
        <f t="shared" ca="1" si="1"/>
        <v/>
      </c>
      <c r="N41" s="16"/>
    </row>
    <row r="42" spans="1:14" x14ac:dyDescent="0.25">
      <c r="A42" s="16"/>
      <c r="B42" s="16"/>
      <c r="C42" s="16"/>
      <c r="D42" s="16"/>
      <c r="E42" s="16"/>
      <c r="F42" s="16"/>
      <c r="G42" s="16"/>
      <c r="H42" s="16"/>
      <c r="I42" s="16"/>
      <c r="J42" s="18" t="str">
        <f t="shared" si="0"/>
        <v/>
      </c>
      <c r="K42" s="16"/>
      <c r="L42" s="18" t="str">
        <f>IF(A42="","",COUNTIF(Œuvres!$C$2:$C$301,A42))</f>
        <v/>
      </c>
      <c r="M42" s="18" t="str">
        <f t="shared" ca="1" si="1"/>
        <v/>
      </c>
      <c r="N42" s="16"/>
    </row>
    <row r="43" spans="1:14" x14ac:dyDescent="0.25">
      <c r="A43" s="16"/>
      <c r="B43" s="16"/>
      <c r="C43" s="16"/>
      <c r="D43" s="16"/>
      <c r="E43" s="16"/>
      <c r="F43" s="16"/>
      <c r="G43" s="16"/>
      <c r="H43" s="16"/>
      <c r="I43" s="16"/>
      <c r="J43" s="18" t="str">
        <f t="shared" si="0"/>
        <v/>
      </c>
      <c r="K43" s="16"/>
      <c r="L43" s="18" t="str">
        <f>IF(A43="","",COUNTIF(Œuvres!$C$2:$C$301,A43))</f>
        <v/>
      </c>
      <c r="M43" s="18" t="str">
        <f t="shared" ca="1" si="1"/>
        <v/>
      </c>
      <c r="N43" s="16"/>
    </row>
    <row r="44" spans="1:14" x14ac:dyDescent="0.25">
      <c r="A44" s="16"/>
      <c r="B44" s="16"/>
      <c r="C44" s="16"/>
      <c r="D44" s="16"/>
      <c r="E44" s="16"/>
      <c r="F44" s="16"/>
      <c r="G44" s="16"/>
      <c r="H44" s="16"/>
      <c r="I44" s="16"/>
      <c r="J44" s="18" t="str">
        <f t="shared" si="0"/>
        <v/>
      </c>
      <c r="K44" s="16"/>
      <c r="L44" s="18" t="str">
        <f>IF(A44="","",COUNTIF(Œuvres!$C$2:$C$301,A44))</f>
        <v/>
      </c>
      <c r="M44" s="18" t="str">
        <f t="shared" ca="1" si="1"/>
        <v/>
      </c>
      <c r="N44" s="16"/>
    </row>
    <row r="45" spans="1:14" x14ac:dyDescent="0.25">
      <c r="A45" s="16"/>
      <c r="B45" s="16"/>
      <c r="C45" s="16"/>
      <c r="D45" s="16"/>
      <c r="E45" s="16"/>
      <c r="F45" s="16"/>
      <c r="G45" s="16"/>
      <c r="H45" s="16"/>
      <c r="I45" s="16"/>
      <c r="J45" s="18" t="str">
        <f t="shared" si="0"/>
        <v/>
      </c>
      <c r="K45" s="16"/>
      <c r="L45" s="18" t="str">
        <f>IF(A45="","",COUNTIF(Œuvres!$C$2:$C$301,A45))</f>
        <v/>
      </c>
      <c r="M45" s="18" t="str">
        <f t="shared" ca="1" si="1"/>
        <v/>
      </c>
      <c r="N45" s="16"/>
    </row>
    <row r="46" spans="1:14" x14ac:dyDescent="0.25">
      <c r="A46" s="16"/>
      <c r="B46" s="16"/>
      <c r="C46" s="16"/>
      <c r="D46" s="16"/>
      <c r="E46" s="16"/>
      <c r="F46" s="16"/>
      <c r="G46" s="16"/>
      <c r="H46" s="16"/>
      <c r="I46" s="16"/>
      <c r="J46" s="18" t="str">
        <f t="shared" si="0"/>
        <v/>
      </c>
      <c r="K46" s="16"/>
      <c r="L46" s="18" t="str">
        <f>IF(A46="","",COUNTIF(Œuvres!$C$2:$C$301,A46))</f>
        <v/>
      </c>
      <c r="M46" s="18" t="str">
        <f t="shared" ca="1" si="1"/>
        <v/>
      </c>
      <c r="N46" s="16"/>
    </row>
    <row r="47" spans="1:14" x14ac:dyDescent="0.25">
      <c r="A47" s="16"/>
      <c r="B47" s="16"/>
      <c r="C47" s="16"/>
      <c r="D47" s="16"/>
      <c r="E47" s="16"/>
      <c r="F47" s="16"/>
      <c r="G47" s="16"/>
      <c r="H47" s="16"/>
      <c r="I47" s="16"/>
      <c r="J47" s="18" t="str">
        <f t="shared" si="0"/>
        <v/>
      </c>
      <c r="K47" s="16"/>
      <c r="L47" s="18" t="str">
        <f>IF(A47="","",COUNTIF(Œuvres!$C$2:$C$301,A47))</f>
        <v/>
      </c>
      <c r="M47" s="18" t="str">
        <f t="shared" ca="1" si="1"/>
        <v/>
      </c>
      <c r="N47" s="16"/>
    </row>
    <row r="48" spans="1:14" x14ac:dyDescent="0.25">
      <c r="A48" s="16"/>
      <c r="B48" s="16"/>
      <c r="C48" s="16"/>
      <c r="D48" s="16"/>
      <c r="E48" s="16"/>
      <c r="F48" s="16"/>
      <c r="G48" s="16"/>
      <c r="H48" s="16"/>
      <c r="I48" s="16"/>
      <c r="J48" s="18" t="str">
        <f t="shared" si="0"/>
        <v/>
      </c>
      <c r="K48" s="16"/>
      <c r="L48" s="18" t="str">
        <f>IF(A48="","",COUNTIF(Œuvres!$C$2:$C$301,A48))</f>
        <v/>
      </c>
      <c r="M48" s="18" t="str">
        <f t="shared" ca="1" si="1"/>
        <v/>
      </c>
      <c r="N48" s="16"/>
    </row>
    <row r="49" spans="1:14" x14ac:dyDescent="0.25">
      <c r="A49" s="16"/>
      <c r="B49" s="16"/>
      <c r="C49" s="16"/>
      <c r="D49" s="16"/>
      <c r="E49" s="16"/>
      <c r="F49" s="16"/>
      <c r="G49" s="16"/>
      <c r="H49" s="16"/>
      <c r="I49" s="16"/>
      <c r="J49" s="18" t="str">
        <f t="shared" si="0"/>
        <v/>
      </c>
      <c r="K49" s="16"/>
      <c r="L49" s="18" t="str">
        <f>IF(A49="","",COUNTIF(Œuvres!$C$2:$C$301,A49))</f>
        <v/>
      </c>
      <c r="M49" s="18" t="str">
        <f t="shared" ca="1" si="1"/>
        <v/>
      </c>
      <c r="N49" s="16"/>
    </row>
    <row r="50" spans="1:14" x14ac:dyDescent="0.25">
      <c r="A50" s="16"/>
      <c r="B50" s="16"/>
      <c r="C50" s="16"/>
      <c r="D50" s="16"/>
      <c r="E50" s="16"/>
      <c r="F50" s="16"/>
      <c r="G50" s="16"/>
      <c r="H50" s="16"/>
      <c r="I50" s="16"/>
      <c r="J50" s="18" t="str">
        <f t="shared" si="0"/>
        <v/>
      </c>
      <c r="K50" s="16"/>
      <c r="L50" s="18" t="str">
        <f>IF(A50="","",COUNTIF(Œuvres!$C$2:$C$301,A50))</f>
        <v/>
      </c>
      <c r="M50" s="18" t="str">
        <f t="shared" ca="1" si="1"/>
        <v/>
      </c>
      <c r="N50" s="16"/>
    </row>
    <row r="51" spans="1:14" x14ac:dyDescent="0.25">
      <c r="A51" s="16"/>
      <c r="B51" s="16"/>
      <c r="C51" s="16"/>
      <c r="D51" s="16"/>
      <c r="E51" s="16"/>
      <c r="F51" s="16"/>
      <c r="G51" s="16"/>
      <c r="H51" s="16"/>
      <c r="I51" s="16"/>
      <c r="J51" s="18" t="str">
        <f t="shared" si="0"/>
        <v/>
      </c>
      <c r="K51" s="16"/>
      <c r="L51" s="18" t="str">
        <f>IF(A51="","",COUNTIF(Œuvres!$C$2:$C$301,A51))</f>
        <v/>
      </c>
      <c r="M51" s="18" t="str">
        <f t="shared" ca="1" si="1"/>
        <v/>
      </c>
      <c r="N51" s="16"/>
    </row>
    <row r="52" spans="1:14" x14ac:dyDescent="0.25">
      <c r="A52" s="16"/>
      <c r="B52" s="16"/>
      <c r="C52" s="16"/>
      <c r="D52" s="16"/>
      <c r="E52" s="16"/>
      <c r="F52" s="16"/>
      <c r="G52" s="16"/>
      <c r="H52" s="16"/>
      <c r="I52" s="16"/>
      <c r="J52" s="18" t="str">
        <f t="shared" si="0"/>
        <v/>
      </c>
      <c r="K52" s="16"/>
      <c r="L52" s="18" t="str">
        <f>IF(A52="","",COUNTIF(Œuvres!$C$2:$C$301,A52))</f>
        <v/>
      </c>
      <c r="M52" s="18" t="str">
        <f t="shared" ca="1" si="1"/>
        <v/>
      </c>
      <c r="N52" s="16"/>
    </row>
    <row r="53" spans="1:14" x14ac:dyDescent="0.25">
      <c r="A53" s="16"/>
      <c r="B53" s="16"/>
      <c r="C53" s="16"/>
      <c r="D53" s="16"/>
      <c r="E53" s="16"/>
      <c r="F53" s="16"/>
      <c r="G53" s="16"/>
      <c r="H53" s="16"/>
      <c r="I53" s="16"/>
      <c r="J53" s="18" t="str">
        <f t="shared" si="0"/>
        <v/>
      </c>
      <c r="K53" s="16"/>
      <c r="L53" s="18" t="str">
        <f>IF(A53="","",COUNTIF(Œuvres!$C$2:$C$301,A53))</f>
        <v/>
      </c>
      <c r="M53" s="18" t="str">
        <f t="shared" ca="1" si="1"/>
        <v/>
      </c>
      <c r="N53" s="16"/>
    </row>
    <row r="54" spans="1:14" x14ac:dyDescent="0.25">
      <c r="A54" s="16"/>
      <c r="B54" s="16"/>
      <c r="C54" s="16"/>
      <c r="D54" s="16"/>
      <c r="E54" s="16"/>
      <c r="F54" s="16"/>
      <c r="G54" s="16"/>
      <c r="H54" s="16"/>
      <c r="I54" s="16"/>
      <c r="J54" s="18" t="str">
        <f t="shared" si="0"/>
        <v/>
      </c>
      <c r="K54" s="16"/>
      <c r="L54" s="18" t="str">
        <f>IF(A54="","",COUNTIF(Œuvres!$C$2:$C$301,A54))</f>
        <v/>
      </c>
      <c r="M54" s="18" t="str">
        <f t="shared" ca="1" si="1"/>
        <v/>
      </c>
      <c r="N54" s="16"/>
    </row>
    <row r="55" spans="1:14" x14ac:dyDescent="0.25">
      <c r="A55" s="16"/>
      <c r="B55" s="16"/>
      <c r="C55" s="16"/>
      <c r="D55" s="16"/>
      <c r="E55" s="16"/>
      <c r="F55" s="16"/>
      <c r="G55" s="16"/>
      <c r="H55" s="16"/>
      <c r="I55" s="16"/>
      <c r="J55" s="18" t="str">
        <f t="shared" si="0"/>
        <v/>
      </c>
      <c r="K55" s="16"/>
      <c r="L55" s="18" t="str">
        <f>IF(A55="","",COUNTIF(Œuvres!$C$2:$C$301,A55))</f>
        <v/>
      </c>
      <c r="M55" s="18" t="str">
        <f t="shared" ca="1" si="1"/>
        <v/>
      </c>
      <c r="N55" s="16"/>
    </row>
    <row r="56" spans="1:14" x14ac:dyDescent="0.25">
      <c r="A56" s="16"/>
      <c r="B56" s="16"/>
      <c r="C56" s="16"/>
      <c r="D56" s="16"/>
      <c r="E56" s="16"/>
      <c r="F56" s="16"/>
      <c r="G56" s="16"/>
      <c r="H56" s="16"/>
      <c r="I56" s="16"/>
      <c r="J56" s="18" t="str">
        <f t="shared" si="0"/>
        <v/>
      </c>
      <c r="K56" s="16"/>
      <c r="L56" s="18" t="str">
        <f>IF(A56="","",COUNTIF(Œuvres!$C$2:$C$301,A56))</f>
        <v/>
      </c>
      <c r="M56" s="18" t="str">
        <f t="shared" ca="1" si="1"/>
        <v/>
      </c>
      <c r="N56" s="16"/>
    </row>
    <row r="57" spans="1:14" x14ac:dyDescent="0.25">
      <c r="A57" s="16"/>
      <c r="B57" s="16"/>
      <c r="C57" s="16"/>
      <c r="D57" s="16"/>
      <c r="E57" s="16"/>
      <c r="F57" s="16"/>
      <c r="G57" s="16"/>
      <c r="H57" s="16"/>
      <c r="I57" s="16"/>
      <c r="J57" s="18" t="str">
        <f t="shared" si="0"/>
        <v/>
      </c>
      <c r="K57" s="16"/>
      <c r="L57" s="18" t="str">
        <f>IF(A57="","",COUNTIF(Œuvres!$C$2:$C$301,A57))</f>
        <v/>
      </c>
      <c r="M57" s="18" t="str">
        <f t="shared" ca="1" si="1"/>
        <v/>
      </c>
      <c r="N57" s="16"/>
    </row>
    <row r="58" spans="1:14" x14ac:dyDescent="0.25">
      <c r="A58" s="16"/>
      <c r="B58" s="16"/>
      <c r="C58" s="16"/>
      <c r="D58" s="16"/>
      <c r="E58" s="16"/>
      <c r="F58" s="16"/>
      <c r="G58" s="16"/>
      <c r="H58" s="16"/>
      <c r="I58" s="16"/>
      <c r="J58" s="18" t="str">
        <f t="shared" si="0"/>
        <v/>
      </c>
      <c r="K58" s="16"/>
      <c r="L58" s="18" t="str">
        <f>IF(A58="","",COUNTIF(Œuvres!$C$2:$C$301,A58))</f>
        <v/>
      </c>
      <c r="M58" s="18" t="str">
        <f t="shared" ca="1" si="1"/>
        <v/>
      </c>
      <c r="N58" s="16"/>
    </row>
    <row r="59" spans="1:14" x14ac:dyDescent="0.25">
      <c r="A59" s="16"/>
      <c r="B59" s="16"/>
      <c r="C59" s="16"/>
      <c r="D59" s="16"/>
      <c r="E59" s="16"/>
      <c r="F59" s="16"/>
      <c r="G59" s="16"/>
      <c r="H59" s="16"/>
      <c r="I59" s="16"/>
      <c r="J59" s="18" t="str">
        <f t="shared" si="0"/>
        <v/>
      </c>
      <c r="K59" s="16"/>
      <c r="L59" s="18" t="str">
        <f>IF(A59="","",COUNTIF(Œuvres!$C$2:$C$301,A59))</f>
        <v/>
      </c>
      <c r="M59" s="18" t="str">
        <f t="shared" ca="1" si="1"/>
        <v/>
      </c>
      <c r="N59" s="16"/>
    </row>
    <row r="60" spans="1:14" x14ac:dyDescent="0.25">
      <c r="A60" s="16"/>
      <c r="B60" s="16"/>
      <c r="C60" s="16"/>
      <c r="D60" s="16"/>
      <c r="E60" s="16"/>
      <c r="F60" s="16"/>
      <c r="G60" s="16"/>
      <c r="H60" s="16"/>
      <c r="I60" s="16"/>
      <c r="J60" s="18" t="str">
        <f t="shared" si="0"/>
        <v/>
      </c>
      <c r="K60" s="16"/>
      <c r="L60" s="18" t="str">
        <f>IF(A60="","",COUNTIF(Œuvres!$C$2:$C$301,A60))</f>
        <v/>
      </c>
      <c r="M60" s="18" t="str">
        <f t="shared" ca="1" si="1"/>
        <v/>
      </c>
      <c r="N60" s="16"/>
    </row>
    <row r="61" spans="1:14" x14ac:dyDescent="0.25">
      <c r="A61" s="16"/>
      <c r="B61" s="16"/>
      <c r="C61" s="16"/>
      <c r="D61" s="16"/>
      <c r="E61" s="16"/>
      <c r="F61" s="16"/>
      <c r="G61" s="16"/>
      <c r="H61" s="16"/>
      <c r="I61" s="16"/>
      <c r="J61" s="18" t="str">
        <f t="shared" si="0"/>
        <v/>
      </c>
      <c r="K61" s="16"/>
      <c r="L61" s="18" t="str">
        <f>IF(A61="","",COUNTIF(Œuvres!$C$2:$C$301,A61))</f>
        <v/>
      </c>
      <c r="M61" s="18" t="str">
        <f t="shared" ca="1" si="1"/>
        <v/>
      </c>
      <c r="N61" s="16"/>
    </row>
    <row r="62" spans="1:14" x14ac:dyDescent="0.25">
      <c r="A62" s="16"/>
      <c r="B62" s="16"/>
      <c r="C62" s="16"/>
      <c r="D62" s="16"/>
      <c r="E62" s="16"/>
      <c r="F62" s="16"/>
      <c r="G62" s="16"/>
      <c r="H62" s="16"/>
      <c r="I62" s="16"/>
      <c r="J62" s="18" t="str">
        <f t="shared" si="0"/>
        <v/>
      </c>
      <c r="K62" s="16"/>
      <c r="L62" s="18" t="str">
        <f>IF(A62="","",COUNTIF(Œuvres!$C$2:$C$301,A62))</f>
        <v/>
      </c>
      <c r="M62" s="18" t="str">
        <f t="shared" ca="1" si="1"/>
        <v/>
      </c>
      <c r="N62" s="16"/>
    </row>
    <row r="63" spans="1:14" x14ac:dyDescent="0.25">
      <c r="A63" s="16"/>
      <c r="B63" s="16"/>
      <c r="C63" s="16"/>
      <c r="D63" s="16"/>
      <c r="E63" s="16"/>
      <c r="F63" s="16"/>
      <c r="G63" s="16"/>
      <c r="H63" s="16"/>
      <c r="I63" s="16"/>
      <c r="J63" s="18" t="str">
        <f t="shared" si="0"/>
        <v/>
      </c>
      <c r="K63" s="16"/>
      <c r="L63" s="18" t="str">
        <f>IF(A63="","",COUNTIF(Œuvres!$C$2:$C$301,A63))</f>
        <v/>
      </c>
      <c r="M63" s="18" t="str">
        <f t="shared" ca="1" si="1"/>
        <v/>
      </c>
      <c r="N63" s="16"/>
    </row>
    <row r="64" spans="1:14" x14ac:dyDescent="0.25">
      <c r="A64" s="16"/>
      <c r="B64" s="16"/>
      <c r="C64" s="16"/>
      <c r="D64" s="16"/>
      <c r="E64" s="16"/>
      <c r="F64" s="16"/>
      <c r="G64" s="16"/>
      <c r="H64" s="16"/>
      <c r="I64" s="16"/>
      <c r="J64" s="18" t="str">
        <f t="shared" si="0"/>
        <v/>
      </c>
      <c r="K64" s="16"/>
      <c r="L64" s="18" t="str">
        <f>IF(A64="","",COUNTIF(Œuvres!$C$2:$C$301,A64))</f>
        <v/>
      </c>
      <c r="M64" s="18" t="str">
        <f t="shared" ca="1" si="1"/>
        <v/>
      </c>
      <c r="N64" s="16"/>
    </row>
    <row r="65" spans="1:14" x14ac:dyDescent="0.25">
      <c r="A65" s="16"/>
      <c r="B65" s="16"/>
      <c r="C65" s="16"/>
      <c r="D65" s="16"/>
      <c r="E65" s="16"/>
      <c r="F65" s="16"/>
      <c r="G65" s="16"/>
      <c r="H65" s="16"/>
      <c r="I65" s="16"/>
      <c r="J65" s="18" t="str">
        <f t="shared" si="0"/>
        <v/>
      </c>
      <c r="K65" s="16"/>
      <c r="L65" s="18" t="str">
        <f>IF(A65="","",COUNTIF(Œuvres!$C$2:$C$301,A65))</f>
        <v/>
      </c>
      <c r="M65" s="18" t="str">
        <f t="shared" ca="1" si="1"/>
        <v/>
      </c>
      <c r="N65" s="16"/>
    </row>
    <row r="66" spans="1:14" x14ac:dyDescent="0.25">
      <c r="A66" s="16"/>
      <c r="B66" s="16"/>
      <c r="C66" s="16"/>
      <c r="D66" s="16"/>
      <c r="E66" s="16"/>
      <c r="F66" s="16"/>
      <c r="G66" s="16"/>
      <c r="H66" s="16"/>
      <c r="I66" s="16"/>
      <c r="J66" s="18" t="str">
        <f t="shared" ref="J66:J129" si="2">IF(A66="","","artistes/"&amp;A66&amp;".md")</f>
        <v/>
      </c>
      <c r="K66" s="16"/>
      <c r="L66" s="18" t="str">
        <f>IF(A66="","",COUNTIF(Œuvres!$C$2:$C$301,A66))</f>
        <v/>
      </c>
      <c r="M66" s="18" t="str">
        <f t="shared" ref="M66:M129" ca="1" si="3">IF(D66="","",IF(YEAR(TODAY())&gt;=D66+71,"Oui (à vérifier)","Non"))</f>
        <v/>
      </c>
      <c r="N66" s="16"/>
    </row>
    <row r="67" spans="1:14" x14ac:dyDescent="0.25">
      <c r="A67" s="16"/>
      <c r="B67" s="16"/>
      <c r="C67" s="16"/>
      <c r="D67" s="16"/>
      <c r="E67" s="16"/>
      <c r="F67" s="16"/>
      <c r="G67" s="16"/>
      <c r="H67" s="16"/>
      <c r="I67" s="16"/>
      <c r="J67" s="18" t="str">
        <f t="shared" si="2"/>
        <v/>
      </c>
      <c r="K67" s="16"/>
      <c r="L67" s="18" t="str">
        <f>IF(A67="","",COUNTIF(Œuvres!$C$2:$C$301,A67))</f>
        <v/>
      </c>
      <c r="M67" s="18" t="str">
        <f t="shared" ca="1" si="3"/>
        <v/>
      </c>
      <c r="N67" s="16"/>
    </row>
    <row r="68" spans="1:14" x14ac:dyDescent="0.25">
      <c r="A68" s="16"/>
      <c r="B68" s="16"/>
      <c r="C68" s="16"/>
      <c r="D68" s="16"/>
      <c r="E68" s="16"/>
      <c r="F68" s="16"/>
      <c r="G68" s="16"/>
      <c r="H68" s="16"/>
      <c r="I68" s="16"/>
      <c r="J68" s="18" t="str">
        <f t="shared" si="2"/>
        <v/>
      </c>
      <c r="K68" s="16"/>
      <c r="L68" s="18" t="str">
        <f>IF(A68="","",COUNTIF(Œuvres!$C$2:$C$301,A68))</f>
        <v/>
      </c>
      <c r="M68" s="18" t="str">
        <f t="shared" ca="1" si="3"/>
        <v/>
      </c>
      <c r="N68" s="16"/>
    </row>
    <row r="69" spans="1:14" x14ac:dyDescent="0.25">
      <c r="A69" s="16"/>
      <c r="B69" s="16"/>
      <c r="C69" s="16"/>
      <c r="D69" s="16"/>
      <c r="E69" s="16"/>
      <c r="F69" s="16"/>
      <c r="G69" s="16"/>
      <c r="H69" s="16"/>
      <c r="I69" s="16"/>
      <c r="J69" s="18" t="str">
        <f t="shared" si="2"/>
        <v/>
      </c>
      <c r="K69" s="16"/>
      <c r="L69" s="18" t="str">
        <f>IF(A69="","",COUNTIF(Œuvres!$C$2:$C$301,A69))</f>
        <v/>
      </c>
      <c r="M69" s="18" t="str">
        <f t="shared" ca="1" si="3"/>
        <v/>
      </c>
      <c r="N69" s="16"/>
    </row>
    <row r="70" spans="1:14" x14ac:dyDescent="0.25">
      <c r="A70" s="16"/>
      <c r="B70" s="16"/>
      <c r="C70" s="16"/>
      <c r="D70" s="16"/>
      <c r="E70" s="16"/>
      <c r="F70" s="16"/>
      <c r="G70" s="16"/>
      <c r="H70" s="16"/>
      <c r="I70" s="16"/>
      <c r="J70" s="18" t="str">
        <f t="shared" si="2"/>
        <v/>
      </c>
      <c r="K70" s="16"/>
      <c r="L70" s="18" t="str">
        <f>IF(A70="","",COUNTIF(Œuvres!$C$2:$C$301,A70))</f>
        <v/>
      </c>
      <c r="M70" s="18" t="str">
        <f t="shared" ca="1" si="3"/>
        <v/>
      </c>
      <c r="N70" s="16"/>
    </row>
    <row r="71" spans="1:14" x14ac:dyDescent="0.25">
      <c r="A71" s="16"/>
      <c r="B71" s="16"/>
      <c r="C71" s="16"/>
      <c r="D71" s="16"/>
      <c r="E71" s="16"/>
      <c r="F71" s="16"/>
      <c r="G71" s="16"/>
      <c r="H71" s="16"/>
      <c r="I71" s="16"/>
      <c r="J71" s="18" t="str">
        <f t="shared" si="2"/>
        <v/>
      </c>
      <c r="K71" s="16"/>
      <c r="L71" s="18" t="str">
        <f>IF(A71="","",COUNTIF(Œuvres!$C$2:$C$301,A71))</f>
        <v/>
      </c>
      <c r="M71" s="18" t="str">
        <f t="shared" ca="1" si="3"/>
        <v/>
      </c>
      <c r="N71" s="16"/>
    </row>
    <row r="72" spans="1:14" x14ac:dyDescent="0.25">
      <c r="A72" s="16"/>
      <c r="B72" s="16"/>
      <c r="C72" s="16"/>
      <c r="D72" s="16"/>
      <c r="E72" s="16"/>
      <c r="F72" s="16"/>
      <c r="G72" s="16"/>
      <c r="H72" s="16"/>
      <c r="I72" s="16"/>
      <c r="J72" s="18" t="str">
        <f t="shared" si="2"/>
        <v/>
      </c>
      <c r="K72" s="16"/>
      <c r="L72" s="18" t="str">
        <f>IF(A72="","",COUNTIF(Œuvres!$C$2:$C$301,A72))</f>
        <v/>
      </c>
      <c r="M72" s="18" t="str">
        <f t="shared" ca="1" si="3"/>
        <v/>
      </c>
      <c r="N72" s="16"/>
    </row>
    <row r="73" spans="1:14" x14ac:dyDescent="0.25">
      <c r="A73" s="16"/>
      <c r="B73" s="16"/>
      <c r="C73" s="16"/>
      <c r="D73" s="16"/>
      <c r="E73" s="16"/>
      <c r="F73" s="16"/>
      <c r="G73" s="16"/>
      <c r="H73" s="16"/>
      <c r="I73" s="16"/>
      <c r="J73" s="18" t="str">
        <f t="shared" si="2"/>
        <v/>
      </c>
      <c r="K73" s="16"/>
      <c r="L73" s="18" t="str">
        <f>IF(A73="","",COUNTIF(Œuvres!$C$2:$C$301,A73))</f>
        <v/>
      </c>
      <c r="M73" s="18" t="str">
        <f t="shared" ca="1" si="3"/>
        <v/>
      </c>
      <c r="N73" s="16"/>
    </row>
    <row r="74" spans="1:14" x14ac:dyDescent="0.25">
      <c r="A74" s="16"/>
      <c r="B74" s="16"/>
      <c r="C74" s="16"/>
      <c r="D74" s="16"/>
      <c r="E74" s="16"/>
      <c r="F74" s="16"/>
      <c r="G74" s="16"/>
      <c r="H74" s="16"/>
      <c r="I74" s="16"/>
      <c r="J74" s="18" t="str">
        <f t="shared" si="2"/>
        <v/>
      </c>
      <c r="K74" s="16"/>
      <c r="L74" s="18" t="str">
        <f>IF(A74="","",COUNTIF(Œuvres!$C$2:$C$301,A74))</f>
        <v/>
      </c>
      <c r="M74" s="18" t="str">
        <f t="shared" ca="1" si="3"/>
        <v/>
      </c>
      <c r="N74" s="16"/>
    </row>
    <row r="75" spans="1:14" x14ac:dyDescent="0.25">
      <c r="A75" s="16"/>
      <c r="B75" s="16"/>
      <c r="C75" s="16"/>
      <c r="D75" s="16"/>
      <c r="E75" s="16"/>
      <c r="F75" s="16"/>
      <c r="G75" s="16"/>
      <c r="H75" s="16"/>
      <c r="I75" s="16"/>
      <c r="J75" s="18" t="str">
        <f t="shared" si="2"/>
        <v/>
      </c>
      <c r="K75" s="16"/>
      <c r="L75" s="18" t="str">
        <f>IF(A75="","",COUNTIF(Œuvres!$C$2:$C$301,A75))</f>
        <v/>
      </c>
      <c r="M75" s="18" t="str">
        <f t="shared" ca="1" si="3"/>
        <v/>
      </c>
      <c r="N75" s="16"/>
    </row>
    <row r="76" spans="1:14" x14ac:dyDescent="0.25">
      <c r="A76" s="16"/>
      <c r="B76" s="16"/>
      <c r="C76" s="16"/>
      <c r="D76" s="16"/>
      <c r="E76" s="16"/>
      <c r="F76" s="16"/>
      <c r="G76" s="16"/>
      <c r="H76" s="16"/>
      <c r="I76" s="16"/>
      <c r="J76" s="18" t="str">
        <f t="shared" si="2"/>
        <v/>
      </c>
      <c r="K76" s="16"/>
      <c r="L76" s="18" t="str">
        <f>IF(A76="","",COUNTIF(Œuvres!$C$2:$C$301,A76))</f>
        <v/>
      </c>
      <c r="M76" s="18" t="str">
        <f t="shared" ca="1" si="3"/>
        <v/>
      </c>
      <c r="N76" s="16"/>
    </row>
    <row r="77" spans="1:14" x14ac:dyDescent="0.25">
      <c r="A77" s="16"/>
      <c r="B77" s="16"/>
      <c r="C77" s="16"/>
      <c r="D77" s="16"/>
      <c r="E77" s="16"/>
      <c r="F77" s="16"/>
      <c r="G77" s="16"/>
      <c r="H77" s="16"/>
      <c r="I77" s="16"/>
      <c r="J77" s="18" t="str">
        <f t="shared" si="2"/>
        <v/>
      </c>
      <c r="K77" s="16"/>
      <c r="L77" s="18" t="str">
        <f>IF(A77="","",COUNTIF(Œuvres!$C$2:$C$301,A77))</f>
        <v/>
      </c>
      <c r="M77" s="18" t="str">
        <f t="shared" ca="1" si="3"/>
        <v/>
      </c>
      <c r="N77" s="16"/>
    </row>
    <row r="78" spans="1:14" x14ac:dyDescent="0.25">
      <c r="A78" s="16"/>
      <c r="B78" s="16"/>
      <c r="C78" s="16"/>
      <c r="D78" s="16"/>
      <c r="E78" s="16"/>
      <c r="F78" s="16"/>
      <c r="G78" s="16"/>
      <c r="H78" s="16"/>
      <c r="I78" s="16"/>
      <c r="J78" s="18" t="str">
        <f t="shared" si="2"/>
        <v/>
      </c>
      <c r="K78" s="16"/>
      <c r="L78" s="18" t="str">
        <f>IF(A78="","",COUNTIF(Œuvres!$C$2:$C$301,A78))</f>
        <v/>
      </c>
      <c r="M78" s="18" t="str">
        <f t="shared" ca="1" si="3"/>
        <v/>
      </c>
      <c r="N78" s="16"/>
    </row>
    <row r="79" spans="1:14" x14ac:dyDescent="0.25">
      <c r="A79" s="16"/>
      <c r="B79" s="16"/>
      <c r="C79" s="16"/>
      <c r="D79" s="16"/>
      <c r="E79" s="16"/>
      <c r="F79" s="16"/>
      <c r="G79" s="16"/>
      <c r="H79" s="16"/>
      <c r="I79" s="16"/>
      <c r="J79" s="18" t="str">
        <f t="shared" si="2"/>
        <v/>
      </c>
      <c r="K79" s="16"/>
      <c r="L79" s="18" t="str">
        <f>IF(A79="","",COUNTIF(Œuvres!$C$2:$C$301,A79))</f>
        <v/>
      </c>
      <c r="M79" s="18" t="str">
        <f t="shared" ca="1" si="3"/>
        <v/>
      </c>
      <c r="N79" s="16"/>
    </row>
    <row r="80" spans="1:14" x14ac:dyDescent="0.25">
      <c r="A80" s="16"/>
      <c r="B80" s="16"/>
      <c r="C80" s="16"/>
      <c r="D80" s="16"/>
      <c r="E80" s="16"/>
      <c r="F80" s="16"/>
      <c r="G80" s="16"/>
      <c r="H80" s="16"/>
      <c r="I80" s="16"/>
      <c r="J80" s="18" t="str">
        <f t="shared" si="2"/>
        <v/>
      </c>
      <c r="K80" s="16"/>
      <c r="L80" s="18" t="str">
        <f>IF(A80="","",COUNTIF(Œuvres!$C$2:$C$301,A80))</f>
        <v/>
      </c>
      <c r="M80" s="18" t="str">
        <f t="shared" ca="1" si="3"/>
        <v/>
      </c>
      <c r="N80" s="16"/>
    </row>
    <row r="81" spans="1:14" x14ac:dyDescent="0.25">
      <c r="A81" s="16"/>
      <c r="B81" s="16"/>
      <c r="C81" s="16"/>
      <c r="D81" s="16"/>
      <c r="E81" s="16"/>
      <c r="F81" s="16"/>
      <c r="G81" s="16"/>
      <c r="H81" s="16"/>
      <c r="I81" s="16"/>
      <c r="J81" s="18" t="str">
        <f t="shared" si="2"/>
        <v/>
      </c>
      <c r="K81" s="16"/>
      <c r="L81" s="18" t="str">
        <f>IF(A81="","",COUNTIF(Œuvres!$C$2:$C$301,A81))</f>
        <v/>
      </c>
      <c r="M81" s="18" t="str">
        <f t="shared" ca="1" si="3"/>
        <v/>
      </c>
      <c r="N81" s="16"/>
    </row>
    <row r="82" spans="1:14" x14ac:dyDescent="0.25">
      <c r="A82" s="16"/>
      <c r="B82" s="16"/>
      <c r="C82" s="16"/>
      <c r="D82" s="16"/>
      <c r="E82" s="16"/>
      <c r="F82" s="16"/>
      <c r="G82" s="16"/>
      <c r="H82" s="16"/>
      <c r="I82" s="16"/>
      <c r="J82" s="18" t="str">
        <f t="shared" si="2"/>
        <v/>
      </c>
      <c r="K82" s="16"/>
      <c r="L82" s="18" t="str">
        <f>IF(A82="","",COUNTIF(Œuvres!$C$2:$C$301,A82))</f>
        <v/>
      </c>
      <c r="M82" s="18" t="str">
        <f t="shared" ca="1" si="3"/>
        <v/>
      </c>
      <c r="N82" s="16"/>
    </row>
    <row r="83" spans="1:14" x14ac:dyDescent="0.25">
      <c r="A83" s="16"/>
      <c r="B83" s="16"/>
      <c r="C83" s="16"/>
      <c r="D83" s="16"/>
      <c r="E83" s="16"/>
      <c r="F83" s="16"/>
      <c r="G83" s="16"/>
      <c r="H83" s="16"/>
      <c r="I83" s="16"/>
      <c r="J83" s="18" t="str">
        <f t="shared" si="2"/>
        <v/>
      </c>
      <c r="K83" s="16"/>
      <c r="L83" s="18" t="str">
        <f>IF(A83="","",COUNTIF(Œuvres!$C$2:$C$301,A83))</f>
        <v/>
      </c>
      <c r="M83" s="18" t="str">
        <f t="shared" ca="1" si="3"/>
        <v/>
      </c>
      <c r="N83" s="16"/>
    </row>
    <row r="84" spans="1:14" x14ac:dyDescent="0.25">
      <c r="A84" s="16"/>
      <c r="B84" s="16"/>
      <c r="C84" s="16"/>
      <c r="D84" s="16"/>
      <c r="E84" s="16"/>
      <c r="F84" s="16"/>
      <c r="G84" s="16"/>
      <c r="H84" s="16"/>
      <c r="I84" s="16"/>
      <c r="J84" s="18" t="str">
        <f t="shared" si="2"/>
        <v/>
      </c>
      <c r="K84" s="16"/>
      <c r="L84" s="18" t="str">
        <f>IF(A84="","",COUNTIF(Œuvres!$C$2:$C$301,A84))</f>
        <v/>
      </c>
      <c r="M84" s="18" t="str">
        <f t="shared" ca="1" si="3"/>
        <v/>
      </c>
      <c r="N84" s="16"/>
    </row>
    <row r="85" spans="1:14" x14ac:dyDescent="0.25">
      <c r="A85" s="16"/>
      <c r="B85" s="16"/>
      <c r="C85" s="16"/>
      <c r="D85" s="16"/>
      <c r="E85" s="16"/>
      <c r="F85" s="16"/>
      <c r="G85" s="16"/>
      <c r="H85" s="16"/>
      <c r="I85" s="16"/>
      <c r="J85" s="18" t="str">
        <f t="shared" si="2"/>
        <v/>
      </c>
      <c r="K85" s="16"/>
      <c r="L85" s="18" t="str">
        <f>IF(A85="","",COUNTIF(Œuvres!$C$2:$C$301,A85))</f>
        <v/>
      </c>
      <c r="M85" s="18" t="str">
        <f t="shared" ca="1" si="3"/>
        <v/>
      </c>
      <c r="N85" s="16"/>
    </row>
    <row r="86" spans="1:14" x14ac:dyDescent="0.25">
      <c r="A86" s="16"/>
      <c r="B86" s="16"/>
      <c r="C86" s="16"/>
      <c r="D86" s="16"/>
      <c r="E86" s="16"/>
      <c r="F86" s="16"/>
      <c r="G86" s="16"/>
      <c r="H86" s="16"/>
      <c r="I86" s="16"/>
      <c r="J86" s="18" t="str">
        <f t="shared" si="2"/>
        <v/>
      </c>
      <c r="K86" s="16"/>
      <c r="L86" s="18" t="str">
        <f>IF(A86="","",COUNTIF(Œuvres!$C$2:$C$301,A86))</f>
        <v/>
      </c>
      <c r="M86" s="18" t="str">
        <f t="shared" ca="1" si="3"/>
        <v/>
      </c>
      <c r="N86" s="16"/>
    </row>
    <row r="87" spans="1:14" x14ac:dyDescent="0.25">
      <c r="A87" s="16"/>
      <c r="B87" s="16"/>
      <c r="C87" s="16"/>
      <c r="D87" s="16"/>
      <c r="E87" s="16"/>
      <c r="F87" s="16"/>
      <c r="G87" s="16"/>
      <c r="H87" s="16"/>
      <c r="I87" s="16"/>
      <c r="J87" s="18" t="str">
        <f t="shared" si="2"/>
        <v/>
      </c>
      <c r="K87" s="16"/>
      <c r="L87" s="18" t="str">
        <f>IF(A87="","",COUNTIF(Œuvres!$C$2:$C$301,A87))</f>
        <v/>
      </c>
      <c r="M87" s="18" t="str">
        <f t="shared" ca="1" si="3"/>
        <v/>
      </c>
      <c r="N87" s="16"/>
    </row>
    <row r="88" spans="1:14" x14ac:dyDescent="0.25">
      <c r="A88" s="16"/>
      <c r="B88" s="16"/>
      <c r="C88" s="16"/>
      <c r="D88" s="16"/>
      <c r="E88" s="16"/>
      <c r="F88" s="16"/>
      <c r="G88" s="16"/>
      <c r="H88" s="16"/>
      <c r="I88" s="16"/>
      <c r="J88" s="18" t="str">
        <f t="shared" si="2"/>
        <v/>
      </c>
      <c r="K88" s="16"/>
      <c r="L88" s="18" t="str">
        <f>IF(A88="","",COUNTIF(Œuvres!$C$2:$C$301,A88))</f>
        <v/>
      </c>
      <c r="M88" s="18" t="str">
        <f t="shared" ca="1" si="3"/>
        <v/>
      </c>
      <c r="N88" s="16"/>
    </row>
    <row r="89" spans="1:14" x14ac:dyDescent="0.25">
      <c r="A89" s="16"/>
      <c r="B89" s="16"/>
      <c r="C89" s="16"/>
      <c r="D89" s="16"/>
      <c r="E89" s="16"/>
      <c r="F89" s="16"/>
      <c r="G89" s="16"/>
      <c r="H89" s="16"/>
      <c r="I89" s="16"/>
      <c r="J89" s="18" t="str">
        <f t="shared" si="2"/>
        <v/>
      </c>
      <c r="K89" s="16"/>
      <c r="L89" s="18" t="str">
        <f>IF(A89="","",COUNTIF(Œuvres!$C$2:$C$301,A89))</f>
        <v/>
      </c>
      <c r="M89" s="18" t="str">
        <f t="shared" ca="1" si="3"/>
        <v/>
      </c>
      <c r="N89" s="16"/>
    </row>
    <row r="90" spans="1:14" x14ac:dyDescent="0.25">
      <c r="A90" s="16"/>
      <c r="B90" s="16"/>
      <c r="C90" s="16"/>
      <c r="D90" s="16"/>
      <c r="E90" s="16"/>
      <c r="F90" s="16"/>
      <c r="G90" s="16"/>
      <c r="H90" s="16"/>
      <c r="I90" s="16"/>
      <c r="J90" s="18" t="str">
        <f t="shared" si="2"/>
        <v/>
      </c>
      <c r="K90" s="16"/>
      <c r="L90" s="18" t="str">
        <f>IF(A90="","",COUNTIF(Œuvres!$C$2:$C$301,A90))</f>
        <v/>
      </c>
      <c r="M90" s="18" t="str">
        <f t="shared" ca="1" si="3"/>
        <v/>
      </c>
      <c r="N90" s="16"/>
    </row>
    <row r="91" spans="1:14" x14ac:dyDescent="0.25">
      <c r="A91" s="16"/>
      <c r="B91" s="16"/>
      <c r="C91" s="16"/>
      <c r="D91" s="16"/>
      <c r="E91" s="16"/>
      <c r="F91" s="16"/>
      <c r="G91" s="16"/>
      <c r="H91" s="16"/>
      <c r="I91" s="16"/>
      <c r="J91" s="18" t="str">
        <f t="shared" si="2"/>
        <v/>
      </c>
      <c r="K91" s="16"/>
      <c r="L91" s="18" t="str">
        <f>IF(A91="","",COUNTIF(Œuvres!$C$2:$C$301,A91))</f>
        <v/>
      </c>
      <c r="M91" s="18" t="str">
        <f t="shared" ca="1" si="3"/>
        <v/>
      </c>
      <c r="N91" s="16"/>
    </row>
    <row r="92" spans="1:14" x14ac:dyDescent="0.25">
      <c r="A92" s="16"/>
      <c r="B92" s="16"/>
      <c r="C92" s="16"/>
      <c r="D92" s="16"/>
      <c r="E92" s="16"/>
      <c r="F92" s="16"/>
      <c r="G92" s="16"/>
      <c r="H92" s="16"/>
      <c r="I92" s="16"/>
      <c r="J92" s="18" t="str">
        <f t="shared" si="2"/>
        <v/>
      </c>
      <c r="K92" s="16"/>
      <c r="L92" s="18" t="str">
        <f>IF(A92="","",COUNTIF(Œuvres!$C$2:$C$301,A92))</f>
        <v/>
      </c>
      <c r="M92" s="18" t="str">
        <f t="shared" ca="1" si="3"/>
        <v/>
      </c>
      <c r="N92" s="16"/>
    </row>
    <row r="93" spans="1:14" x14ac:dyDescent="0.25">
      <c r="A93" s="16"/>
      <c r="B93" s="16"/>
      <c r="C93" s="16"/>
      <c r="D93" s="16"/>
      <c r="E93" s="16"/>
      <c r="F93" s="16"/>
      <c r="G93" s="16"/>
      <c r="H93" s="16"/>
      <c r="I93" s="16"/>
      <c r="J93" s="18" t="str">
        <f t="shared" si="2"/>
        <v/>
      </c>
      <c r="K93" s="16"/>
      <c r="L93" s="18" t="str">
        <f>IF(A93="","",COUNTIF(Œuvres!$C$2:$C$301,A93))</f>
        <v/>
      </c>
      <c r="M93" s="18" t="str">
        <f t="shared" ca="1" si="3"/>
        <v/>
      </c>
      <c r="N93" s="16"/>
    </row>
    <row r="94" spans="1:14" x14ac:dyDescent="0.25">
      <c r="A94" s="16"/>
      <c r="B94" s="16"/>
      <c r="C94" s="16"/>
      <c r="D94" s="16"/>
      <c r="E94" s="16"/>
      <c r="F94" s="16"/>
      <c r="G94" s="16"/>
      <c r="H94" s="16"/>
      <c r="I94" s="16"/>
      <c r="J94" s="18" t="str">
        <f t="shared" si="2"/>
        <v/>
      </c>
      <c r="K94" s="16"/>
      <c r="L94" s="18" t="str">
        <f>IF(A94="","",COUNTIF(Œuvres!$C$2:$C$301,A94))</f>
        <v/>
      </c>
      <c r="M94" s="18" t="str">
        <f t="shared" ca="1" si="3"/>
        <v/>
      </c>
      <c r="N94" s="16"/>
    </row>
    <row r="95" spans="1:14" x14ac:dyDescent="0.25">
      <c r="A95" s="16"/>
      <c r="B95" s="16"/>
      <c r="C95" s="16"/>
      <c r="D95" s="16"/>
      <c r="E95" s="16"/>
      <c r="F95" s="16"/>
      <c r="G95" s="16"/>
      <c r="H95" s="16"/>
      <c r="I95" s="16"/>
      <c r="J95" s="18" t="str">
        <f t="shared" si="2"/>
        <v/>
      </c>
      <c r="K95" s="16"/>
      <c r="L95" s="18" t="str">
        <f>IF(A95="","",COUNTIF(Œuvres!$C$2:$C$301,A95))</f>
        <v/>
      </c>
      <c r="M95" s="18" t="str">
        <f t="shared" ca="1" si="3"/>
        <v/>
      </c>
      <c r="N95" s="16"/>
    </row>
    <row r="96" spans="1:14" x14ac:dyDescent="0.25">
      <c r="A96" s="16"/>
      <c r="B96" s="16"/>
      <c r="C96" s="16"/>
      <c r="D96" s="16"/>
      <c r="E96" s="16"/>
      <c r="F96" s="16"/>
      <c r="G96" s="16"/>
      <c r="H96" s="16"/>
      <c r="I96" s="16"/>
      <c r="J96" s="18" t="str">
        <f t="shared" si="2"/>
        <v/>
      </c>
      <c r="K96" s="16"/>
      <c r="L96" s="18" t="str">
        <f>IF(A96="","",COUNTIF(Œuvres!$C$2:$C$301,A96))</f>
        <v/>
      </c>
      <c r="M96" s="18" t="str">
        <f t="shared" ca="1" si="3"/>
        <v/>
      </c>
      <c r="N96" s="16"/>
    </row>
    <row r="97" spans="1:14" x14ac:dyDescent="0.25">
      <c r="A97" s="16"/>
      <c r="B97" s="16"/>
      <c r="C97" s="16"/>
      <c r="D97" s="16"/>
      <c r="E97" s="16"/>
      <c r="F97" s="16"/>
      <c r="G97" s="16"/>
      <c r="H97" s="16"/>
      <c r="I97" s="16"/>
      <c r="J97" s="18" t="str">
        <f t="shared" si="2"/>
        <v/>
      </c>
      <c r="K97" s="16"/>
      <c r="L97" s="18" t="str">
        <f>IF(A97="","",COUNTIF(Œuvres!$C$2:$C$301,A97))</f>
        <v/>
      </c>
      <c r="M97" s="18" t="str">
        <f t="shared" ca="1" si="3"/>
        <v/>
      </c>
      <c r="N97" s="16"/>
    </row>
    <row r="98" spans="1:14" x14ac:dyDescent="0.25">
      <c r="A98" s="16"/>
      <c r="B98" s="16"/>
      <c r="C98" s="16"/>
      <c r="D98" s="16"/>
      <c r="E98" s="16"/>
      <c r="F98" s="16"/>
      <c r="G98" s="16"/>
      <c r="H98" s="16"/>
      <c r="I98" s="16"/>
      <c r="J98" s="18" t="str">
        <f t="shared" si="2"/>
        <v/>
      </c>
      <c r="K98" s="16"/>
      <c r="L98" s="18" t="str">
        <f>IF(A98="","",COUNTIF(Œuvres!$C$2:$C$301,A98))</f>
        <v/>
      </c>
      <c r="M98" s="18" t="str">
        <f t="shared" ca="1" si="3"/>
        <v/>
      </c>
      <c r="N98" s="16"/>
    </row>
    <row r="99" spans="1:14" x14ac:dyDescent="0.25">
      <c r="A99" s="16"/>
      <c r="B99" s="16"/>
      <c r="C99" s="16"/>
      <c r="D99" s="16"/>
      <c r="E99" s="16"/>
      <c r="F99" s="16"/>
      <c r="G99" s="16"/>
      <c r="H99" s="16"/>
      <c r="I99" s="16"/>
      <c r="J99" s="18" t="str">
        <f t="shared" si="2"/>
        <v/>
      </c>
      <c r="K99" s="16"/>
      <c r="L99" s="18" t="str">
        <f>IF(A99="","",COUNTIF(Œuvres!$C$2:$C$301,A99))</f>
        <v/>
      </c>
      <c r="M99" s="18" t="str">
        <f t="shared" ca="1" si="3"/>
        <v/>
      </c>
      <c r="N99" s="16"/>
    </row>
    <row r="100" spans="1:14" x14ac:dyDescent="0.25">
      <c r="A100" s="16"/>
      <c r="B100" s="16"/>
      <c r="C100" s="16"/>
      <c r="D100" s="16"/>
      <c r="E100" s="16"/>
      <c r="F100" s="16"/>
      <c r="G100" s="16"/>
      <c r="H100" s="16"/>
      <c r="I100" s="16"/>
      <c r="J100" s="18" t="str">
        <f t="shared" si="2"/>
        <v/>
      </c>
      <c r="K100" s="16"/>
      <c r="L100" s="18" t="str">
        <f>IF(A100="","",COUNTIF(Œuvres!$C$2:$C$301,A100))</f>
        <v/>
      </c>
      <c r="M100" s="18" t="str">
        <f t="shared" ca="1" si="3"/>
        <v/>
      </c>
      <c r="N100" s="16"/>
    </row>
    <row r="101" spans="1:14" x14ac:dyDescent="0.25">
      <c r="A101" s="16"/>
      <c r="B101" s="16"/>
      <c r="C101" s="16"/>
      <c r="D101" s="16"/>
      <c r="E101" s="16"/>
      <c r="F101" s="16"/>
      <c r="G101" s="16"/>
      <c r="H101" s="16"/>
      <c r="I101" s="16"/>
      <c r="J101" s="18" t="str">
        <f t="shared" si="2"/>
        <v/>
      </c>
      <c r="K101" s="16"/>
      <c r="L101" s="18" t="str">
        <f>IF(A101="","",COUNTIF(Œuvres!$C$2:$C$301,A101))</f>
        <v/>
      </c>
      <c r="M101" s="18" t="str">
        <f t="shared" ca="1" si="3"/>
        <v/>
      </c>
      <c r="N101" s="16"/>
    </row>
    <row r="102" spans="1:14" x14ac:dyDescent="0.25">
      <c r="A102" s="16"/>
      <c r="B102" s="16"/>
      <c r="C102" s="16"/>
      <c r="D102" s="16"/>
      <c r="E102" s="16"/>
      <c r="F102" s="16"/>
      <c r="G102" s="16"/>
      <c r="H102" s="16"/>
      <c r="I102" s="16"/>
      <c r="J102" s="18" t="str">
        <f t="shared" si="2"/>
        <v/>
      </c>
      <c r="K102" s="16"/>
      <c r="L102" s="18" t="str">
        <f>IF(A102="","",COUNTIF(Œuvres!$C$2:$C$301,A102))</f>
        <v/>
      </c>
      <c r="M102" s="18" t="str">
        <f t="shared" ca="1" si="3"/>
        <v/>
      </c>
      <c r="N102" s="16"/>
    </row>
    <row r="103" spans="1:14" x14ac:dyDescent="0.25">
      <c r="A103" s="16"/>
      <c r="B103" s="16"/>
      <c r="C103" s="16"/>
      <c r="D103" s="16"/>
      <c r="E103" s="16"/>
      <c r="F103" s="16"/>
      <c r="G103" s="16"/>
      <c r="H103" s="16"/>
      <c r="I103" s="16"/>
      <c r="J103" s="18" t="str">
        <f t="shared" si="2"/>
        <v/>
      </c>
      <c r="K103" s="16"/>
      <c r="L103" s="18" t="str">
        <f>IF(A103="","",COUNTIF(Œuvres!$C$2:$C$301,A103))</f>
        <v/>
      </c>
      <c r="M103" s="18" t="str">
        <f t="shared" ca="1" si="3"/>
        <v/>
      </c>
      <c r="N103" s="16"/>
    </row>
    <row r="104" spans="1:14" x14ac:dyDescent="0.25">
      <c r="A104" s="16"/>
      <c r="B104" s="16"/>
      <c r="C104" s="16"/>
      <c r="D104" s="16"/>
      <c r="E104" s="16"/>
      <c r="F104" s="16"/>
      <c r="G104" s="16"/>
      <c r="H104" s="16"/>
      <c r="I104" s="16"/>
      <c r="J104" s="18" t="str">
        <f t="shared" si="2"/>
        <v/>
      </c>
      <c r="K104" s="16"/>
      <c r="L104" s="18" t="str">
        <f>IF(A104="","",COUNTIF(Œuvres!$C$2:$C$301,A104))</f>
        <v/>
      </c>
      <c r="M104" s="18" t="str">
        <f t="shared" ca="1" si="3"/>
        <v/>
      </c>
      <c r="N104" s="16"/>
    </row>
    <row r="105" spans="1:14" x14ac:dyDescent="0.25">
      <c r="A105" s="16"/>
      <c r="B105" s="16"/>
      <c r="C105" s="16"/>
      <c r="D105" s="16"/>
      <c r="E105" s="16"/>
      <c r="F105" s="16"/>
      <c r="G105" s="16"/>
      <c r="H105" s="16"/>
      <c r="I105" s="16"/>
      <c r="J105" s="18" t="str">
        <f t="shared" si="2"/>
        <v/>
      </c>
      <c r="K105" s="16"/>
      <c r="L105" s="18" t="str">
        <f>IF(A105="","",COUNTIF(Œuvres!$C$2:$C$301,A105))</f>
        <v/>
      </c>
      <c r="M105" s="18" t="str">
        <f t="shared" ca="1" si="3"/>
        <v/>
      </c>
      <c r="N105" s="16"/>
    </row>
    <row r="106" spans="1:14" x14ac:dyDescent="0.25">
      <c r="A106" s="16"/>
      <c r="B106" s="16"/>
      <c r="C106" s="16"/>
      <c r="D106" s="16"/>
      <c r="E106" s="16"/>
      <c r="F106" s="16"/>
      <c r="G106" s="16"/>
      <c r="H106" s="16"/>
      <c r="I106" s="16"/>
      <c r="J106" s="18" t="str">
        <f t="shared" si="2"/>
        <v/>
      </c>
      <c r="K106" s="16"/>
      <c r="L106" s="18" t="str">
        <f>IF(A106="","",COUNTIF(Œuvres!$C$2:$C$301,A106))</f>
        <v/>
      </c>
      <c r="M106" s="18" t="str">
        <f t="shared" ca="1" si="3"/>
        <v/>
      </c>
      <c r="N106" s="16"/>
    </row>
    <row r="107" spans="1:14" x14ac:dyDescent="0.25">
      <c r="A107" s="16"/>
      <c r="B107" s="16"/>
      <c r="C107" s="16"/>
      <c r="D107" s="16"/>
      <c r="E107" s="16"/>
      <c r="F107" s="16"/>
      <c r="G107" s="16"/>
      <c r="H107" s="16"/>
      <c r="I107" s="16"/>
      <c r="J107" s="18" t="str">
        <f t="shared" si="2"/>
        <v/>
      </c>
      <c r="K107" s="16"/>
      <c r="L107" s="18" t="str">
        <f>IF(A107="","",COUNTIF(Œuvres!$C$2:$C$301,A107))</f>
        <v/>
      </c>
      <c r="M107" s="18" t="str">
        <f t="shared" ca="1" si="3"/>
        <v/>
      </c>
      <c r="N107" s="16"/>
    </row>
    <row r="108" spans="1:14" x14ac:dyDescent="0.25">
      <c r="A108" s="16"/>
      <c r="B108" s="16"/>
      <c r="C108" s="16"/>
      <c r="D108" s="16"/>
      <c r="E108" s="16"/>
      <c r="F108" s="16"/>
      <c r="G108" s="16"/>
      <c r="H108" s="16"/>
      <c r="I108" s="16"/>
      <c r="J108" s="18" t="str">
        <f t="shared" si="2"/>
        <v/>
      </c>
      <c r="K108" s="16"/>
      <c r="L108" s="18" t="str">
        <f>IF(A108="","",COUNTIF(Œuvres!$C$2:$C$301,A108))</f>
        <v/>
      </c>
      <c r="M108" s="18" t="str">
        <f t="shared" ca="1" si="3"/>
        <v/>
      </c>
      <c r="N108" s="16"/>
    </row>
    <row r="109" spans="1:14" x14ac:dyDescent="0.25">
      <c r="A109" s="16"/>
      <c r="B109" s="16"/>
      <c r="C109" s="16"/>
      <c r="D109" s="16"/>
      <c r="E109" s="16"/>
      <c r="F109" s="16"/>
      <c r="G109" s="16"/>
      <c r="H109" s="16"/>
      <c r="I109" s="16"/>
      <c r="J109" s="18" t="str">
        <f t="shared" si="2"/>
        <v/>
      </c>
      <c r="K109" s="16"/>
      <c r="L109" s="18" t="str">
        <f>IF(A109="","",COUNTIF(Œuvres!$C$2:$C$301,A109))</f>
        <v/>
      </c>
      <c r="M109" s="18" t="str">
        <f t="shared" ca="1" si="3"/>
        <v/>
      </c>
      <c r="N109" s="16"/>
    </row>
    <row r="110" spans="1:14" x14ac:dyDescent="0.25">
      <c r="A110" s="16"/>
      <c r="B110" s="16"/>
      <c r="C110" s="16"/>
      <c r="D110" s="16"/>
      <c r="E110" s="16"/>
      <c r="F110" s="16"/>
      <c r="G110" s="16"/>
      <c r="H110" s="16"/>
      <c r="I110" s="16"/>
      <c r="J110" s="18" t="str">
        <f t="shared" si="2"/>
        <v/>
      </c>
      <c r="K110" s="16"/>
      <c r="L110" s="18" t="str">
        <f>IF(A110="","",COUNTIF(Œuvres!$C$2:$C$301,A110))</f>
        <v/>
      </c>
      <c r="M110" s="18" t="str">
        <f t="shared" ca="1" si="3"/>
        <v/>
      </c>
      <c r="N110" s="16"/>
    </row>
    <row r="111" spans="1:14" x14ac:dyDescent="0.25">
      <c r="A111" s="16"/>
      <c r="B111" s="16"/>
      <c r="C111" s="16"/>
      <c r="D111" s="16"/>
      <c r="E111" s="16"/>
      <c r="F111" s="16"/>
      <c r="G111" s="16"/>
      <c r="H111" s="16"/>
      <c r="I111" s="16"/>
      <c r="J111" s="18" t="str">
        <f t="shared" si="2"/>
        <v/>
      </c>
      <c r="K111" s="16"/>
      <c r="L111" s="18" t="str">
        <f>IF(A111="","",COUNTIF(Œuvres!$C$2:$C$301,A111))</f>
        <v/>
      </c>
      <c r="M111" s="18" t="str">
        <f t="shared" ca="1" si="3"/>
        <v/>
      </c>
      <c r="N111" s="16"/>
    </row>
    <row r="112" spans="1:14" x14ac:dyDescent="0.25">
      <c r="A112" s="16"/>
      <c r="B112" s="16"/>
      <c r="C112" s="16"/>
      <c r="D112" s="16"/>
      <c r="E112" s="16"/>
      <c r="F112" s="16"/>
      <c r="G112" s="16"/>
      <c r="H112" s="16"/>
      <c r="I112" s="16"/>
      <c r="J112" s="18" t="str">
        <f t="shared" si="2"/>
        <v/>
      </c>
      <c r="K112" s="16"/>
      <c r="L112" s="18" t="str">
        <f>IF(A112="","",COUNTIF(Œuvres!$C$2:$C$301,A112))</f>
        <v/>
      </c>
      <c r="M112" s="18" t="str">
        <f t="shared" ca="1" si="3"/>
        <v/>
      </c>
      <c r="N112" s="16"/>
    </row>
    <row r="113" spans="1:14" x14ac:dyDescent="0.25">
      <c r="A113" s="16"/>
      <c r="B113" s="16"/>
      <c r="C113" s="16"/>
      <c r="D113" s="16"/>
      <c r="E113" s="16"/>
      <c r="F113" s="16"/>
      <c r="G113" s="16"/>
      <c r="H113" s="16"/>
      <c r="I113" s="16"/>
      <c r="J113" s="18" t="str">
        <f t="shared" si="2"/>
        <v/>
      </c>
      <c r="K113" s="16"/>
      <c r="L113" s="18" t="str">
        <f>IF(A113="","",COUNTIF(Œuvres!$C$2:$C$301,A113))</f>
        <v/>
      </c>
      <c r="M113" s="18" t="str">
        <f t="shared" ca="1" si="3"/>
        <v/>
      </c>
      <c r="N113" s="16"/>
    </row>
    <row r="114" spans="1:14" x14ac:dyDescent="0.25">
      <c r="A114" s="16"/>
      <c r="B114" s="16"/>
      <c r="C114" s="16"/>
      <c r="D114" s="16"/>
      <c r="E114" s="16"/>
      <c r="F114" s="16"/>
      <c r="G114" s="16"/>
      <c r="H114" s="16"/>
      <c r="I114" s="16"/>
      <c r="J114" s="18" t="str">
        <f t="shared" si="2"/>
        <v/>
      </c>
      <c r="K114" s="16"/>
      <c r="L114" s="18" t="str">
        <f>IF(A114="","",COUNTIF(Œuvres!$C$2:$C$301,A114))</f>
        <v/>
      </c>
      <c r="M114" s="18" t="str">
        <f t="shared" ca="1" si="3"/>
        <v/>
      </c>
      <c r="N114" s="16"/>
    </row>
    <row r="115" spans="1:14" x14ac:dyDescent="0.25">
      <c r="A115" s="16"/>
      <c r="B115" s="16"/>
      <c r="C115" s="16"/>
      <c r="D115" s="16"/>
      <c r="E115" s="16"/>
      <c r="F115" s="16"/>
      <c r="G115" s="16"/>
      <c r="H115" s="16"/>
      <c r="I115" s="16"/>
      <c r="J115" s="18" t="str">
        <f t="shared" si="2"/>
        <v/>
      </c>
      <c r="K115" s="16"/>
      <c r="L115" s="18" t="str">
        <f>IF(A115="","",COUNTIF(Œuvres!$C$2:$C$301,A115))</f>
        <v/>
      </c>
      <c r="M115" s="18" t="str">
        <f t="shared" ca="1" si="3"/>
        <v/>
      </c>
      <c r="N115" s="16"/>
    </row>
    <row r="116" spans="1:14" x14ac:dyDescent="0.25">
      <c r="A116" s="16"/>
      <c r="B116" s="16"/>
      <c r="C116" s="16"/>
      <c r="D116" s="16"/>
      <c r="E116" s="16"/>
      <c r="F116" s="16"/>
      <c r="G116" s="16"/>
      <c r="H116" s="16"/>
      <c r="I116" s="16"/>
      <c r="J116" s="18" t="str">
        <f t="shared" si="2"/>
        <v/>
      </c>
      <c r="K116" s="16"/>
      <c r="L116" s="18" t="str">
        <f>IF(A116="","",COUNTIF(Œuvres!$C$2:$C$301,A116))</f>
        <v/>
      </c>
      <c r="M116" s="18" t="str">
        <f t="shared" ca="1" si="3"/>
        <v/>
      </c>
      <c r="N116" s="16"/>
    </row>
    <row r="117" spans="1:14" x14ac:dyDescent="0.25">
      <c r="A117" s="16"/>
      <c r="B117" s="16"/>
      <c r="C117" s="16"/>
      <c r="D117" s="16"/>
      <c r="E117" s="16"/>
      <c r="F117" s="16"/>
      <c r="G117" s="16"/>
      <c r="H117" s="16"/>
      <c r="I117" s="16"/>
      <c r="J117" s="18" t="str">
        <f t="shared" si="2"/>
        <v/>
      </c>
      <c r="K117" s="16"/>
      <c r="L117" s="18" t="str">
        <f>IF(A117="","",COUNTIF(Œuvres!$C$2:$C$301,A117))</f>
        <v/>
      </c>
      <c r="M117" s="18" t="str">
        <f t="shared" ca="1" si="3"/>
        <v/>
      </c>
      <c r="N117" s="16"/>
    </row>
    <row r="118" spans="1:14" x14ac:dyDescent="0.25">
      <c r="A118" s="16"/>
      <c r="B118" s="16"/>
      <c r="C118" s="16"/>
      <c r="D118" s="16"/>
      <c r="E118" s="16"/>
      <c r="F118" s="16"/>
      <c r="G118" s="16"/>
      <c r="H118" s="16"/>
      <c r="I118" s="16"/>
      <c r="J118" s="18" t="str">
        <f t="shared" si="2"/>
        <v/>
      </c>
      <c r="K118" s="16"/>
      <c r="L118" s="18" t="str">
        <f>IF(A118="","",COUNTIF(Œuvres!$C$2:$C$301,A118))</f>
        <v/>
      </c>
      <c r="M118" s="18" t="str">
        <f t="shared" ca="1" si="3"/>
        <v/>
      </c>
      <c r="N118" s="16"/>
    </row>
    <row r="119" spans="1:14" x14ac:dyDescent="0.25">
      <c r="A119" s="16"/>
      <c r="B119" s="16"/>
      <c r="C119" s="16"/>
      <c r="D119" s="16"/>
      <c r="E119" s="16"/>
      <c r="F119" s="16"/>
      <c r="G119" s="16"/>
      <c r="H119" s="16"/>
      <c r="I119" s="16"/>
      <c r="J119" s="18" t="str">
        <f t="shared" si="2"/>
        <v/>
      </c>
      <c r="K119" s="16"/>
      <c r="L119" s="18" t="str">
        <f>IF(A119="","",COUNTIF(Œuvres!$C$2:$C$301,A119))</f>
        <v/>
      </c>
      <c r="M119" s="18" t="str">
        <f t="shared" ca="1" si="3"/>
        <v/>
      </c>
      <c r="N119" s="16"/>
    </row>
    <row r="120" spans="1:14" x14ac:dyDescent="0.25">
      <c r="A120" s="16"/>
      <c r="B120" s="16"/>
      <c r="C120" s="16"/>
      <c r="D120" s="16"/>
      <c r="E120" s="16"/>
      <c r="F120" s="16"/>
      <c r="G120" s="16"/>
      <c r="H120" s="16"/>
      <c r="I120" s="16"/>
      <c r="J120" s="18" t="str">
        <f t="shared" si="2"/>
        <v/>
      </c>
      <c r="K120" s="16"/>
      <c r="L120" s="18" t="str">
        <f>IF(A120="","",COUNTIF(Œuvres!$C$2:$C$301,A120))</f>
        <v/>
      </c>
      <c r="M120" s="18" t="str">
        <f t="shared" ca="1" si="3"/>
        <v/>
      </c>
      <c r="N120" s="16"/>
    </row>
    <row r="121" spans="1:14" x14ac:dyDescent="0.25">
      <c r="A121" s="16"/>
      <c r="B121" s="16"/>
      <c r="C121" s="16"/>
      <c r="D121" s="16"/>
      <c r="E121" s="16"/>
      <c r="F121" s="16"/>
      <c r="G121" s="16"/>
      <c r="H121" s="16"/>
      <c r="I121" s="16"/>
      <c r="J121" s="18" t="str">
        <f t="shared" si="2"/>
        <v/>
      </c>
      <c r="K121" s="16"/>
      <c r="L121" s="18" t="str">
        <f>IF(A121="","",COUNTIF(Œuvres!$C$2:$C$301,A121))</f>
        <v/>
      </c>
      <c r="M121" s="18" t="str">
        <f t="shared" ca="1" si="3"/>
        <v/>
      </c>
      <c r="N121" s="16"/>
    </row>
    <row r="122" spans="1:14" x14ac:dyDescent="0.25">
      <c r="A122" s="16"/>
      <c r="B122" s="16"/>
      <c r="C122" s="16"/>
      <c r="D122" s="16"/>
      <c r="E122" s="16"/>
      <c r="F122" s="16"/>
      <c r="G122" s="16"/>
      <c r="H122" s="16"/>
      <c r="I122" s="16"/>
      <c r="J122" s="18" t="str">
        <f t="shared" si="2"/>
        <v/>
      </c>
      <c r="K122" s="16"/>
      <c r="L122" s="18" t="str">
        <f>IF(A122="","",COUNTIF(Œuvres!$C$2:$C$301,A122))</f>
        <v/>
      </c>
      <c r="M122" s="18" t="str">
        <f t="shared" ca="1" si="3"/>
        <v/>
      </c>
      <c r="N122" s="16"/>
    </row>
    <row r="123" spans="1:14" x14ac:dyDescent="0.25">
      <c r="A123" s="16"/>
      <c r="B123" s="16"/>
      <c r="C123" s="16"/>
      <c r="D123" s="16"/>
      <c r="E123" s="16"/>
      <c r="F123" s="16"/>
      <c r="G123" s="16"/>
      <c r="H123" s="16"/>
      <c r="I123" s="16"/>
      <c r="J123" s="18" t="str">
        <f t="shared" si="2"/>
        <v/>
      </c>
      <c r="K123" s="16"/>
      <c r="L123" s="18" t="str">
        <f>IF(A123="","",COUNTIF(Œuvres!$C$2:$C$301,A123))</f>
        <v/>
      </c>
      <c r="M123" s="18" t="str">
        <f t="shared" ca="1" si="3"/>
        <v/>
      </c>
      <c r="N123" s="16"/>
    </row>
    <row r="124" spans="1:14" x14ac:dyDescent="0.25">
      <c r="A124" s="16"/>
      <c r="B124" s="16"/>
      <c r="C124" s="16"/>
      <c r="D124" s="16"/>
      <c r="E124" s="16"/>
      <c r="F124" s="16"/>
      <c r="G124" s="16"/>
      <c r="H124" s="16"/>
      <c r="I124" s="16"/>
      <c r="J124" s="18" t="str">
        <f t="shared" si="2"/>
        <v/>
      </c>
      <c r="K124" s="16"/>
      <c r="L124" s="18" t="str">
        <f>IF(A124="","",COUNTIF(Œuvres!$C$2:$C$301,A124))</f>
        <v/>
      </c>
      <c r="M124" s="18" t="str">
        <f t="shared" ca="1" si="3"/>
        <v/>
      </c>
      <c r="N124" s="16"/>
    </row>
    <row r="125" spans="1:14" x14ac:dyDescent="0.25">
      <c r="A125" s="16"/>
      <c r="B125" s="16"/>
      <c r="C125" s="16"/>
      <c r="D125" s="16"/>
      <c r="E125" s="16"/>
      <c r="F125" s="16"/>
      <c r="G125" s="16"/>
      <c r="H125" s="16"/>
      <c r="I125" s="16"/>
      <c r="J125" s="18" t="str">
        <f t="shared" si="2"/>
        <v/>
      </c>
      <c r="K125" s="16"/>
      <c r="L125" s="18" t="str">
        <f>IF(A125="","",COUNTIF(Œuvres!$C$2:$C$301,A125))</f>
        <v/>
      </c>
      <c r="M125" s="18" t="str">
        <f t="shared" ca="1" si="3"/>
        <v/>
      </c>
      <c r="N125" s="16"/>
    </row>
    <row r="126" spans="1:14" x14ac:dyDescent="0.25">
      <c r="A126" s="16"/>
      <c r="B126" s="16"/>
      <c r="C126" s="16"/>
      <c r="D126" s="16"/>
      <c r="E126" s="16"/>
      <c r="F126" s="16"/>
      <c r="G126" s="16"/>
      <c r="H126" s="16"/>
      <c r="I126" s="16"/>
      <c r="J126" s="18" t="str">
        <f t="shared" si="2"/>
        <v/>
      </c>
      <c r="K126" s="16"/>
      <c r="L126" s="18" t="str">
        <f>IF(A126="","",COUNTIF(Œuvres!$C$2:$C$301,A126))</f>
        <v/>
      </c>
      <c r="M126" s="18" t="str">
        <f t="shared" ca="1" si="3"/>
        <v/>
      </c>
      <c r="N126" s="16"/>
    </row>
    <row r="127" spans="1:14" x14ac:dyDescent="0.25">
      <c r="A127" s="16"/>
      <c r="B127" s="16"/>
      <c r="C127" s="16"/>
      <c r="D127" s="16"/>
      <c r="E127" s="16"/>
      <c r="F127" s="16"/>
      <c r="G127" s="16"/>
      <c r="H127" s="16"/>
      <c r="I127" s="16"/>
      <c r="J127" s="18" t="str">
        <f t="shared" si="2"/>
        <v/>
      </c>
      <c r="K127" s="16"/>
      <c r="L127" s="18" t="str">
        <f>IF(A127="","",COUNTIF(Œuvres!$C$2:$C$301,A127))</f>
        <v/>
      </c>
      <c r="M127" s="18" t="str">
        <f t="shared" ca="1" si="3"/>
        <v/>
      </c>
      <c r="N127" s="16"/>
    </row>
    <row r="128" spans="1:14" x14ac:dyDescent="0.25">
      <c r="A128" s="16"/>
      <c r="B128" s="16"/>
      <c r="C128" s="16"/>
      <c r="D128" s="16"/>
      <c r="E128" s="16"/>
      <c r="F128" s="16"/>
      <c r="G128" s="16"/>
      <c r="H128" s="16"/>
      <c r="I128" s="16"/>
      <c r="J128" s="18" t="str">
        <f t="shared" si="2"/>
        <v/>
      </c>
      <c r="K128" s="16"/>
      <c r="L128" s="18" t="str">
        <f>IF(A128="","",COUNTIF(Œuvres!$C$2:$C$301,A128))</f>
        <v/>
      </c>
      <c r="M128" s="18" t="str">
        <f t="shared" ca="1" si="3"/>
        <v/>
      </c>
      <c r="N128" s="16"/>
    </row>
    <row r="129" spans="1:14" x14ac:dyDescent="0.25">
      <c r="A129" s="16"/>
      <c r="B129" s="16"/>
      <c r="C129" s="16"/>
      <c r="D129" s="16"/>
      <c r="E129" s="16"/>
      <c r="F129" s="16"/>
      <c r="G129" s="16"/>
      <c r="H129" s="16"/>
      <c r="I129" s="16"/>
      <c r="J129" s="18" t="str">
        <f t="shared" si="2"/>
        <v/>
      </c>
      <c r="K129" s="16"/>
      <c r="L129" s="18" t="str">
        <f>IF(A129="","",COUNTIF(Œuvres!$C$2:$C$301,A129))</f>
        <v/>
      </c>
      <c r="M129" s="18" t="str">
        <f t="shared" ca="1" si="3"/>
        <v/>
      </c>
      <c r="N129" s="16"/>
    </row>
    <row r="130" spans="1:14" x14ac:dyDescent="0.25">
      <c r="A130" s="16"/>
      <c r="B130" s="16"/>
      <c r="C130" s="16"/>
      <c r="D130" s="16"/>
      <c r="E130" s="16"/>
      <c r="F130" s="16"/>
      <c r="G130" s="16"/>
      <c r="H130" s="16"/>
      <c r="I130" s="16"/>
      <c r="J130" s="18" t="str">
        <f t="shared" ref="J130:J193" si="4">IF(A130="","","artistes/"&amp;A130&amp;".md")</f>
        <v/>
      </c>
      <c r="K130" s="16"/>
      <c r="L130" s="18" t="str">
        <f>IF(A130="","",COUNTIF(Œuvres!$C$2:$C$301,A130))</f>
        <v/>
      </c>
      <c r="M130" s="18" t="str">
        <f t="shared" ref="M130:M193" ca="1" si="5">IF(D130="","",IF(YEAR(TODAY())&gt;=D130+71,"Oui (à vérifier)","Non"))</f>
        <v/>
      </c>
      <c r="N130" s="16"/>
    </row>
    <row r="131" spans="1:14" x14ac:dyDescent="0.25">
      <c r="A131" s="16"/>
      <c r="B131" s="16"/>
      <c r="C131" s="16"/>
      <c r="D131" s="16"/>
      <c r="E131" s="16"/>
      <c r="F131" s="16"/>
      <c r="G131" s="16"/>
      <c r="H131" s="16"/>
      <c r="I131" s="16"/>
      <c r="J131" s="18" t="str">
        <f t="shared" si="4"/>
        <v/>
      </c>
      <c r="K131" s="16"/>
      <c r="L131" s="18" t="str">
        <f>IF(A131="","",COUNTIF(Œuvres!$C$2:$C$301,A131))</f>
        <v/>
      </c>
      <c r="M131" s="18" t="str">
        <f t="shared" ca="1" si="5"/>
        <v/>
      </c>
      <c r="N131" s="16"/>
    </row>
    <row r="132" spans="1:14" x14ac:dyDescent="0.25">
      <c r="A132" s="16"/>
      <c r="B132" s="16"/>
      <c r="C132" s="16"/>
      <c r="D132" s="16"/>
      <c r="E132" s="16"/>
      <c r="F132" s="16"/>
      <c r="G132" s="16"/>
      <c r="H132" s="16"/>
      <c r="I132" s="16"/>
      <c r="J132" s="18" t="str">
        <f t="shared" si="4"/>
        <v/>
      </c>
      <c r="K132" s="16"/>
      <c r="L132" s="18" t="str">
        <f>IF(A132="","",COUNTIF(Œuvres!$C$2:$C$301,A132))</f>
        <v/>
      </c>
      <c r="M132" s="18" t="str">
        <f t="shared" ca="1" si="5"/>
        <v/>
      </c>
      <c r="N132" s="16"/>
    </row>
    <row r="133" spans="1:14" x14ac:dyDescent="0.25">
      <c r="A133" s="16"/>
      <c r="B133" s="16"/>
      <c r="C133" s="16"/>
      <c r="D133" s="16"/>
      <c r="E133" s="16"/>
      <c r="F133" s="16"/>
      <c r="G133" s="16"/>
      <c r="H133" s="16"/>
      <c r="I133" s="16"/>
      <c r="J133" s="18" t="str">
        <f t="shared" si="4"/>
        <v/>
      </c>
      <c r="K133" s="16"/>
      <c r="L133" s="18" t="str">
        <f>IF(A133="","",COUNTIF(Œuvres!$C$2:$C$301,A133))</f>
        <v/>
      </c>
      <c r="M133" s="18" t="str">
        <f t="shared" ca="1" si="5"/>
        <v/>
      </c>
      <c r="N133" s="16"/>
    </row>
    <row r="134" spans="1:14" x14ac:dyDescent="0.25">
      <c r="A134" s="16"/>
      <c r="B134" s="16"/>
      <c r="C134" s="16"/>
      <c r="D134" s="16"/>
      <c r="E134" s="16"/>
      <c r="F134" s="16"/>
      <c r="G134" s="16"/>
      <c r="H134" s="16"/>
      <c r="I134" s="16"/>
      <c r="J134" s="18" t="str">
        <f t="shared" si="4"/>
        <v/>
      </c>
      <c r="K134" s="16"/>
      <c r="L134" s="18" t="str">
        <f>IF(A134="","",COUNTIF(Œuvres!$C$2:$C$301,A134))</f>
        <v/>
      </c>
      <c r="M134" s="18" t="str">
        <f t="shared" ca="1" si="5"/>
        <v/>
      </c>
      <c r="N134" s="16"/>
    </row>
    <row r="135" spans="1:14" x14ac:dyDescent="0.25">
      <c r="A135" s="16"/>
      <c r="B135" s="16"/>
      <c r="C135" s="16"/>
      <c r="D135" s="16"/>
      <c r="E135" s="16"/>
      <c r="F135" s="16"/>
      <c r="G135" s="16"/>
      <c r="H135" s="16"/>
      <c r="I135" s="16"/>
      <c r="J135" s="18" t="str">
        <f t="shared" si="4"/>
        <v/>
      </c>
      <c r="K135" s="16"/>
      <c r="L135" s="18" t="str">
        <f>IF(A135="","",COUNTIF(Œuvres!$C$2:$C$301,A135))</f>
        <v/>
      </c>
      <c r="M135" s="18" t="str">
        <f t="shared" ca="1" si="5"/>
        <v/>
      </c>
      <c r="N135" s="16"/>
    </row>
    <row r="136" spans="1:14" x14ac:dyDescent="0.25">
      <c r="A136" s="16"/>
      <c r="B136" s="16"/>
      <c r="C136" s="16"/>
      <c r="D136" s="16"/>
      <c r="E136" s="16"/>
      <c r="F136" s="16"/>
      <c r="G136" s="16"/>
      <c r="H136" s="16"/>
      <c r="I136" s="16"/>
      <c r="J136" s="18" t="str">
        <f t="shared" si="4"/>
        <v/>
      </c>
      <c r="K136" s="16"/>
      <c r="L136" s="18" t="str">
        <f>IF(A136="","",COUNTIF(Œuvres!$C$2:$C$301,A136))</f>
        <v/>
      </c>
      <c r="M136" s="18" t="str">
        <f t="shared" ca="1" si="5"/>
        <v/>
      </c>
      <c r="N136" s="16"/>
    </row>
    <row r="137" spans="1:14" x14ac:dyDescent="0.25">
      <c r="A137" s="16"/>
      <c r="B137" s="16"/>
      <c r="C137" s="16"/>
      <c r="D137" s="16"/>
      <c r="E137" s="16"/>
      <c r="F137" s="16"/>
      <c r="G137" s="16"/>
      <c r="H137" s="16"/>
      <c r="I137" s="16"/>
      <c r="J137" s="18" t="str">
        <f t="shared" si="4"/>
        <v/>
      </c>
      <c r="K137" s="16"/>
      <c r="L137" s="18" t="str">
        <f>IF(A137="","",COUNTIF(Œuvres!$C$2:$C$301,A137))</f>
        <v/>
      </c>
      <c r="M137" s="18" t="str">
        <f t="shared" ca="1" si="5"/>
        <v/>
      </c>
      <c r="N137" s="16"/>
    </row>
    <row r="138" spans="1:14" x14ac:dyDescent="0.25">
      <c r="A138" s="16"/>
      <c r="B138" s="16"/>
      <c r="C138" s="16"/>
      <c r="D138" s="16"/>
      <c r="E138" s="16"/>
      <c r="F138" s="16"/>
      <c r="G138" s="16"/>
      <c r="H138" s="16"/>
      <c r="I138" s="16"/>
      <c r="J138" s="18" t="str">
        <f t="shared" si="4"/>
        <v/>
      </c>
      <c r="K138" s="16"/>
      <c r="L138" s="18" t="str">
        <f>IF(A138="","",COUNTIF(Œuvres!$C$2:$C$301,A138))</f>
        <v/>
      </c>
      <c r="M138" s="18" t="str">
        <f t="shared" ca="1" si="5"/>
        <v/>
      </c>
      <c r="N138" s="16"/>
    </row>
    <row r="139" spans="1:14" x14ac:dyDescent="0.25">
      <c r="A139" s="16"/>
      <c r="B139" s="16"/>
      <c r="C139" s="16"/>
      <c r="D139" s="16"/>
      <c r="E139" s="16"/>
      <c r="F139" s="16"/>
      <c r="G139" s="16"/>
      <c r="H139" s="16"/>
      <c r="I139" s="16"/>
      <c r="J139" s="18" t="str">
        <f t="shared" si="4"/>
        <v/>
      </c>
      <c r="K139" s="16"/>
      <c r="L139" s="18" t="str">
        <f>IF(A139="","",COUNTIF(Œuvres!$C$2:$C$301,A139))</f>
        <v/>
      </c>
      <c r="M139" s="18" t="str">
        <f t="shared" ca="1" si="5"/>
        <v/>
      </c>
      <c r="N139" s="16"/>
    </row>
    <row r="140" spans="1:14" x14ac:dyDescent="0.25">
      <c r="A140" s="16"/>
      <c r="B140" s="16"/>
      <c r="C140" s="16"/>
      <c r="D140" s="16"/>
      <c r="E140" s="16"/>
      <c r="F140" s="16"/>
      <c r="G140" s="16"/>
      <c r="H140" s="16"/>
      <c r="I140" s="16"/>
      <c r="J140" s="18" t="str">
        <f t="shared" si="4"/>
        <v/>
      </c>
      <c r="K140" s="16"/>
      <c r="L140" s="18" t="str">
        <f>IF(A140="","",COUNTIF(Œuvres!$C$2:$C$301,A140))</f>
        <v/>
      </c>
      <c r="M140" s="18" t="str">
        <f t="shared" ca="1" si="5"/>
        <v/>
      </c>
      <c r="N140" s="16"/>
    </row>
    <row r="141" spans="1:14" x14ac:dyDescent="0.25">
      <c r="A141" s="16"/>
      <c r="B141" s="16"/>
      <c r="C141" s="16"/>
      <c r="D141" s="16"/>
      <c r="E141" s="16"/>
      <c r="F141" s="16"/>
      <c r="G141" s="16"/>
      <c r="H141" s="16"/>
      <c r="I141" s="16"/>
      <c r="J141" s="18" t="str">
        <f t="shared" si="4"/>
        <v/>
      </c>
      <c r="K141" s="16"/>
      <c r="L141" s="18" t="str">
        <f>IF(A141="","",COUNTIF(Œuvres!$C$2:$C$301,A141))</f>
        <v/>
      </c>
      <c r="M141" s="18" t="str">
        <f t="shared" ca="1" si="5"/>
        <v/>
      </c>
      <c r="N141" s="16"/>
    </row>
    <row r="142" spans="1:14" x14ac:dyDescent="0.25">
      <c r="A142" s="16"/>
      <c r="B142" s="16"/>
      <c r="C142" s="16"/>
      <c r="D142" s="16"/>
      <c r="E142" s="16"/>
      <c r="F142" s="16"/>
      <c r="G142" s="16"/>
      <c r="H142" s="16"/>
      <c r="I142" s="16"/>
      <c r="J142" s="18" t="str">
        <f t="shared" si="4"/>
        <v/>
      </c>
      <c r="K142" s="16"/>
      <c r="L142" s="18" t="str">
        <f>IF(A142="","",COUNTIF(Œuvres!$C$2:$C$301,A142))</f>
        <v/>
      </c>
      <c r="M142" s="18" t="str">
        <f t="shared" ca="1" si="5"/>
        <v/>
      </c>
      <c r="N142" s="16"/>
    </row>
    <row r="143" spans="1:14" x14ac:dyDescent="0.25">
      <c r="A143" s="16"/>
      <c r="B143" s="16"/>
      <c r="C143" s="16"/>
      <c r="D143" s="16"/>
      <c r="E143" s="16"/>
      <c r="F143" s="16"/>
      <c r="G143" s="16"/>
      <c r="H143" s="16"/>
      <c r="I143" s="16"/>
      <c r="J143" s="18" t="str">
        <f t="shared" si="4"/>
        <v/>
      </c>
      <c r="K143" s="16"/>
      <c r="L143" s="18" t="str">
        <f>IF(A143="","",COUNTIF(Œuvres!$C$2:$C$301,A143))</f>
        <v/>
      </c>
      <c r="M143" s="18" t="str">
        <f t="shared" ca="1" si="5"/>
        <v/>
      </c>
      <c r="N143" s="16"/>
    </row>
    <row r="144" spans="1:14" x14ac:dyDescent="0.25">
      <c r="A144" s="16"/>
      <c r="B144" s="16"/>
      <c r="C144" s="16"/>
      <c r="D144" s="16"/>
      <c r="E144" s="16"/>
      <c r="F144" s="16"/>
      <c r="G144" s="16"/>
      <c r="H144" s="16"/>
      <c r="I144" s="16"/>
      <c r="J144" s="18" t="str">
        <f t="shared" si="4"/>
        <v/>
      </c>
      <c r="K144" s="16"/>
      <c r="L144" s="18" t="str">
        <f>IF(A144="","",COUNTIF(Œuvres!$C$2:$C$301,A144))</f>
        <v/>
      </c>
      <c r="M144" s="18" t="str">
        <f t="shared" ca="1" si="5"/>
        <v/>
      </c>
      <c r="N144" s="16"/>
    </row>
    <row r="145" spans="1:14" x14ac:dyDescent="0.25">
      <c r="A145" s="16"/>
      <c r="B145" s="16"/>
      <c r="C145" s="16"/>
      <c r="D145" s="16"/>
      <c r="E145" s="16"/>
      <c r="F145" s="16"/>
      <c r="G145" s="16"/>
      <c r="H145" s="16"/>
      <c r="I145" s="16"/>
      <c r="J145" s="18" t="str">
        <f t="shared" si="4"/>
        <v/>
      </c>
      <c r="K145" s="16"/>
      <c r="L145" s="18" t="str">
        <f>IF(A145="","",COUNTIF(Œuvres!$C$2:$C$301,A145))</f>
        <v/>
      </c>
      <c r="M145" s="18" t="str">
        <f t="shared" ca="1" si="5"/>
        <v/>
      </c>
      <c r="N145" s="16"/>
    </row>
    <row r="146" spans="1:14" x14ac:dyDescent="0.25">
      <c r="A146" s="16"/>
      <c r="B146" s="16"/>
      <c r="C146" s="16"/>
      <c r="D146" s="16"/>
      <c r="E146" s="16"/>
      <c r="F146" s="16"/>
      <c r="G146" s="16"/>
      <c r="H146" s="16"/>
      <c r="I146" s="16"/>
      <c r="J146" s="18" t="str">
        <f t="shared" si="4"/>
        <v/>
      </c>
      <c r="K146" s="16"/>
      <c r="L146" s="18" t="str">
        <f>IF(A146="","",COUNTIF(Œuvres!$C$2:$C$301,A146))</f>
        <v/>
      </c>
      <c r="M146" s="18" t="str">
        <f t="shared" ca="1" si="5"/>
        <v/>
      </c>
      <c r="N146" s="16"/>
    </row>
    <row r="147" spans="1:14" x14ac:dyDescent="0.25">
      <c r="A147" s="16"/>
      <c r="B147" s="16"/>
      <c r="C147" s="16"/>
      <c r="D147" s="16"/>
      <c r="E147" s="16"/>
      <c r="F147" s="16"/>
      <c r="G147" s="16"/>
      <c r="H147" s="16"/>
      <c r="I147" s="16"/>
      <c r="J147" s="18" t="str">
        <f t="shared" si="4"/>
        <v/>
      </c>
      <c r="K147" s="16"/>
      <c r="L147" s="18" t="str">
        <f>IF(A147="","",COUNTIF(Œuvres!$C$2:$C$301,A147))</f>
        <v/>
      </c>
      <c r="M147" s="18" t="str">
        <f t="shared" ca="1" si="5"/>
        <v/>
      </c>
      <c r="N147" s="16"/>
    </row>
    <row r="148" spans="1:14" x14ac:dyDescent="0.25">
      <c r="A148" s="16"/>
      <c r="B148" s="16"/>
      <c r="C148" s="16"/>
      <c r="D148" s="16"/>
      <c r="E148" s="16"/>
      <c r="F148" s="16"/>
      <c r="G148" s="16"/>
      <c r="H148" s="16"/>
      <c r="I148" s="16"/>
      <c r="J148" s="18" t="str">
        <f t="shared" si="4"/>
        <v/>
      </c>
      <c r="K148" s="16"/>
      <c r="L148" s="18" t="str">
        <f>IF(A148="","",COUNTIF(Œuvres!$C$2:$C$301,A148))</f>
        <v/>
      </c>
      <c r="M148" s="18" t="str">
        <f t="shared" ca="1" si="5"/>
        <v/>
      </c>
      <c r="N148" s="16"/>
    </row>
    <row r="149" spans="1:14" x14ac:dyDescent="0.25">
      <c r="A149" s="16"/>
      <c r="B149" s="16"/>
      <c r="C149" s="16"/>
      <c r="D149" s="16"/>
      <c r="E149" s="16"/>
      <c r="F149" s="16"/>
      <c r="G149" s="16"/>
      <c r="H149" s="16"/>
      <c r="I149" s="16"/>
      <c r="J149" s="18" t="str">
        <f t="shared" si="4"/>
        <v/>
      </c>
      <c r="K149" s="16"/>
      <c r="L149" s="18" t="str">
        <f>IF(A149="","",COUNTIF(Œuvres!$C$2:$C$301,A149))</f>
        <v/>
      </c>
      <c r="M149" s="18" t="str">
        <f t="shared" ca="1" si="5"/>
        <v/>
      </c>
      <c r="N149" s="16"/>
    </row>
    <row r="150" spans="1:14" x14ac:dyDescent="0.25">
      <c r="A150" s="16"/>
      <c r="B150" s="16"/>
      <c r="C150" s="16"/>
      <c r="D150" s="16"/>
      <c r="E150" s="16"/>
      <c r="F150" s="16"/>
      <c r="G150" s="16"/>
      <c r="H150" s="16"/>
      <c r="I150" s="16"/>
      <c r="J150" s="18" t="str">
        <f t="shared" si="4"/>
        <v/>
      </c>
      <c r="K150" s="16"/>
      <c r="L150" s="18" t="str">
        <f>IF(A150="","",COUNTIF(Œuvres!$C$2:$C$301,A150))</f>
        <v/>
      </c>
      <c r="M150" s="18" t="str">
        <f t="shared" ca="1" si="5"/>
        <v/>
      </c>
      <c r="N150" s="16"/>
    </row>
    <row r="151" spans="1:14" x14ac:dyDescent="0.25">
      <c r="A151" s="16"/>
      <c r="B151" s="16"/>
      <c r="C151" s="16"/>
      <c r="D151" s="16"/>
      <c r="E151" s="16"/>
      <c r="F151" s="16"/>
      <c r="G151" s="16"/>
      <c r="H151" s="16"/>
      <c r="I151" s="16"/>
      <c r="J151" s="18" t="str">
        <f t="shared" si="4"/>
        <v/>
      </c>
      <c r="K151" s="16"/>
      <c r="L151" s="18" t="str">
        <f>IF(A151="","",COUNTIF(Œuvres!$C$2:$C$301,A151))</f>
        <v/>
      </c>
      <c r="M151" s="18" t="str">
        <f t="shared" ca="1" si="5"/>
        <v/>
      </c>
      <c r="N151" s="16"/>
    </row>
    <row r="152" spans="1:14" x14ac:dyDescent="0.25">
      <c r="A152" s="16"/>
      <c r="B152" s="16"/>
      <c r="C152" s="16"/>
      <c r="D152" s="16"/>
      <c r="E152" s="16"/>
      <c r="F152" s="16"/>
      <c r="G152" s="16"/>
      <c r="H152" s="16"/>
      <c r="I152" s="16"/>
      <c r="J152" s="18" t="str">
        <f t="shared" si="4"/>
        <v/>
      </c>
      <c r="K152" s="16"/>
      <c r="L152" s="18" t="str">
        <f>IF(A152="","",COUNTIF(Œuvres!$C$2:$C$301,A152))</f>
        <v/>
      </c>
      <c r="M152" s="18" t="str">
        <f t="shared" ca="1" si="5"/>
        <v/>
      </c>
      <c r="N152" s="16"/>
    </row>
    <row r="153" spans="1:14" x14ac:dyDescent="0.25">
      <c r="A153" s="16"/>
      <c r="B153" s="16"/>
      <c r="C153" s="16"/>
      <c r="D153" s="16"/>
      <c r="E153" s="16"/>
      <c r="F153" s="16"/>
      <c r="G153" s="16"/>
      <c r="H153" s="16"/>
      <c r="I153" s="16"/>
      <c r="J153" s="18" t="str">
        <f t="shared" si="4"/>
        <v/>
      </c>
      <c r="K153" s="16"/>
      <c r="L153" s="18" t="str">
        <f>IF(A153="","",COUNTIF(Œuvres!$C$2:$C$301,A153))</f>
        <v/>
      </c>
      <c r="M153" s="18" t="str">
        <f t="shared" ca="1" si="5"/>
        <v/>
      </c>
      <c r="N153" s="16"/>
    </row>
    <row r="154" spans="1:14" x14ac:dyDescent="0.25">
      <c r="A154" s="16"/>
      <c r="B154" s="16"/>
      <c r="C154" s="16"/>
      <c r="D154" s="16"/>
      <c r="E154" s="16"/>
      <c r="F154" s="16"/>
      <c r="G154" s="16"/>
      <c r="H154" s="16"/>
      <c r="I154" s="16"/>
      <c r="J154" s="18" t="str">
        <f t="shared" si="4"/>
        <v/>
      </c>
      <c r="K154" s="16"/>
      <c r="L154" s="18" t="str">
        <f>IF(A154="","",COUNTIF(Œuvres!$C$2:$C$301,A154))</f>
        <v/>
      </c>
      <c r="M154" s="18" t="str">
        <f t="shared" ca="1" si="5"/>
        <v/>
      </c>
      <c r="N154" s="16"/>
    </row>
    <row r="155" spans="1:14" x14ac:dyDescent="0.25">
      <c r="A155" s="16"/>
      <c r="B155" s="16"/>
      <c r="C155" s="16"/>
      <c r="D155" s="16"/>
      <c r="E155" s="16"/>
      <c r="F155" s="16"/>
      <c r="G155" s="16"/>
      <c r="H155" s="16"/>
      <c r="I155" s="16"/>
      <c r="J155" s="18" t="str">
        <f t="shared" si="4"/>
        <v/>
      </c>
      <c r="K155" s="16"/>
      <c r="L155" s="18" t="str">
        <f>IF(A155="","",COUNTIF(Œuvres!$C$2:$C$301,A155))</f>
        <v/>
      </c>
      <c r="M155" s="18" t="str">
        <f t="shared" ca="1" si="5"/>
        <v/>
      </c>
      <c r="N155" s="16"/>
    </row>
    <row r="156" spans="1:14" x14ac:dyDescent="0.25">
      <c r="A156" s="16"/>
      <c r="B156" s="16"/>
      <c r="C156" s="16"/>
      <c r="D156" s="16"/>
      <c r="E156" s="16"/>
      <c r="F156" s="16"/>
      <c r="G156" s="16"/>
      <c r="H156" s="16"/>
      <c r="I156" s="16"/>
      <c r="J156" s="18" t="str">
        <f t="shared" si="4"/>
        <v/>
      </c>
      <c r="K156" s="16"/>
      <c r="L156" s="18" t="str">
        <f>IF(A156="","",COUNTIF(Œuvres!$C$2:$C$301,A156))</f>
        <v/>
      </c>
      <c r="M156" s="18" t="str">
        <f t="shared" ca="1" si="5"/>
        <v/>
      </c>
      <c r="N156" s="16"/>
    </row>
    <row r="157" spans="1:14" x14ac:dyDescent="0.25">
      <c r="A157" s="16"/>
      <c r="B157" s="16"/>
      <c r="C157" s="16"/>
      <c r="D157" s="16"/>
      <c r="E157" s="16"/>
      <c r="F157" s="16"/>
      <c r="G157" s="16"/>
      <c r="H157" s="16"/>
      <c r="I157" s="16"/>
      <c r="J157" s="18" t="str">
        <f t="shared" si="4"/>
        <v/>
      </c>
      <c r="K157" s="16"/>
      <c r="L157" s="18" t="str">
        <f>IF(A157="","",COUNTIF(Œuvres!$C$2:$C$301,A157))</f>
        <v/>
      </c>
      <c r="M157" s="18" t="str">
        <f t="shared" ca="1" si="5"/>
        <v/>
      </c>
      <c r="N157" s="16"/>
    </row>
    <row r="158" spans="1:14" x14ac:dyDescent="0.25">
      <c r="A158" s="16"/>
      <c r="B158" s="16"/>
      <c r="C158" s="16"/>
      <c r="D158" s="16"/>
      <c r="E158" s="16"/>
      <c r="F158" s="16"/>
      <c r="G158" s="16"/>
      <c r="H158" s="16"/>
      <c r="I158" s="16"/>
      <c r="J158" s="18" t="str">
        <f t="shared" si="4"/>
        <v/>
      </c>
      <c r="K158" s="16"/>
      <c r="L158" s="18" t="str">
        <f>IF(A158="","",COUNTIF(Œuvres!$C$2:$C$301,A158))</f>
        <v/>
      </c>
      <c r="M158" s="18" t="str">
        <f t="shared" ca="1" si="5"/>
        <v/>
      </c>
      <c r="N158" s="16"/>
    </row>
    <row r="159" spans="1:14" x14ac:dyDescent="0.25">
      <c r="A159" s="16"/>
      <c r="B159" s="16"/>
      <c r="C159" s="16"/>
      <c r="D159" s="16"/>
      <c r="E159" s="16"/>
      <c r="F159" s="16"/>
      <c r="G159" s="16"/>
      <c r="H159" s="16"/>
      <c r="I159" s="16"/>
      <c r="J159" s="18" t="str">
        <f t="shared" si="4"/>
        <v/>
      </c>
      <c r="K159" s="16"/>
      <c r="L159" s="18" t="str">
        <f>IF(A159="","",COUNTIF(Œuvres!$C$2:$C$301,A159))</f>
        <v/>
      </c>
      <c r="M159" s="18" t="str">
        <f t="shared" ca="1" si="5"/>
        <v/>
      </c>
      <c r="N159" s="16"/>
    </row>
    <row r="160" spans="1:14" x14ac:dyDescent="0.25">
      <c r="A160" s="16"/>
      <c r="B160" s="16"/>
      <c r="C160" s="16"/>
      <c r="D160" s="16"/>
      <c r="E160" s="16"/>
      <c r="F160" s="16"/>
      <c r="G160" s="16"/>
      <c r="H160" s="16"/>
      <c r="I160" s="16"/>
      <c r="J160" s="18" t="str">
        <f t="shared" si="4"/>
        <v/>
      </c>
      <c r="K160" s="16"/>
      <c r="L160" s="18" t="str">
        <f>IF(A160="","",COUNTIF(Œuvres!$C$2:$C$301,A160))</f>
        <v/>
      </c>
      <c r="M160" s="18" t="str">
        <f t="shared" ca="1" si="5"/>
        <v/>
      </c>
      <c r="N160" s="16"/>
    </row>
    <row r="161" spans="1:14" x14ac:dyDescent="0.25">
      <c r="A161" s="16"/>
      <c r="B161" s="16"/>
      <c r="C161" s="16"/>
      <c r="D161" s="16"/>
      <c r="E161" s="16"/>
      <c r="F161" s="16"/>
      <c r="G161" s="16"/>
      <c r="H161" s="16"/>
      <c r="I161" s="16"/>
      <c r="J161" s="18" t="str">
        <f t="shared" si="4"/>
        <v/>
      </c>
      <c r="K161" s="16"/>
      <c r="L161" s="18" t="str">
        <f>IF(A161="","",COUNTIF(Œuvres!$C$2:$C$301,A161))</f>
        <v/>
      </c>
      <c r="M161" s="18" t="str">
        <f t="shared" ca="1" si="5"/>
        <v/>
      </c>
      <c r="N161" s="16"/>
    </row>
    <row r="162" spans="1:14" x14ac:dyDescent="0.25">
      <c r="A162" s="16"/>
      <c r="B162" s="16"/>
      <c r="C162" s="16"/>
      <c r="D162" s="16"/>
      <c r="E162" s="16"/>
      <c r="F162" s="16"/>
      <c r="G162" s="16"/>
      <c r="H162" s="16"/>
      <c r="I162" s="16"/>
      <c r="J162" s="18" t="str">
        <f t="shared" si="4"/>
        <v/>
      </c>
      <c r="K162" s="16"/>
      <c r="L162" s="18" t="str">
        <f>IF(A162="","",COUNTIF(Œuvres!$C$2:$C$301,A162))</f>
        <v/>
      </c>
      <c r="M162" s="18" t="str">
        <f t="shared" ca="1" si="5"/>
        <v/>
      </c>
      <c r="N162" s="16"/>
    </row>
    <row r="163" spans="1:14" x14ac:dyDescent="0.25">
      <c r="A163" s="16"/>
      <c r="B163" s="16"/>
      <c r="C163" s="16"/>
      <c r="D163" s="16"/>
      <c r="E163" s="16"/>
      <c r="F163" s="16"/>
      <c r="G163" s="16"/>
      <c r="H163" s="16"/>
      <c r="I163" s="16"/>
      <c r="J163" s="18" t="str">
        <f t="shared" si="4"/>
        <v/>
      </c>
      <c r="K163" s="16"/>
      <c r="L163" s="18" t="str">
        <f>IF(A163="","",COUNTIF(Œuvres!$C$2:$C$301,A163))</f>
        <v/>
      </c>
      <c r="M163" s="18" t="str">
        <f t="shared" ca="1" si="5"/>
        <v/>
      </c>
      <c r="N163" s="16"/>
    </row>
    <row r="164" spans="1:14" x14ac:dyDescent="0.25">
      <c r="A164" s="16"/>
      <c r="B164" s="16"/>
      <c r="C164" s="16"/>
      <c r="D164" s="16"/>
      <c r="E164" s="16"/>
      <c r="F164" s="16"/>
      <c r="G164" s="16"/>
      <c r="H164" s="16"/>
      <c r="I164" s="16"/>
      <c r="J164" s="18" t="str">
        <f t="shared" si="4"/>
        <v/>
      </c>
      <c r="K164" s="16"/>
      <c r="L164" s="18" t="str">
        <f>IF(A164="","",COUNTIF(Œuvres!$C$2:$C$301,A164))</f>
        <v/>
      </c>
      <c r="M164" s="18" t="str">
        <f t="shared" ca="1" si="5"/>
        <v/>
      </c>
      <c r="N164" s="16"/>
    </row>
    <row r="165" spans="1:14" x14ac:dyDescent="0.25">
      <c r="A165" s="16"/>
      <c r="B165" s="16"/>
      <c r="C165" s="16"/>
      <c r="D165" s="16"/>
      <c r="E165" s="16"/>
      <c r="F165" s="16"/>
      <c r="G165" s="16"/>
      <c r="H165" s="16"/>
      <c r="I165" s="16"/>
      <c r="J165" s="18" t="str">
        <f t="shared" si="4"/>
        <v/>
      </c>
      <c r="K165" s="16"/>
      <c r="L165" s="18" t="str">
        <f>IF(A165="","",COUNTIF(Œuvres!$C$2:$C$301,A165))</f>
        <v/>
      </c>
      <c r="M165" s="18" t="str">
        <f t="shared" ca="1" si="5"/>
        <v/>
      </c>
      <c r="N165" s="16"/>
    </row>
    <row r="166" spans="1:14" x14ac:dyDescent="0.25">
      <c r="A166" s="16"/>
      <c r="B166" s="16"/>
      <c r="C166" s="16"/>
      <c r="D166" s="16"/>
      <c r="E166" s="16"/>
      <c r="F166" s="16"/>
      <c r="G166" s="16"/>
      <c r="H166" s="16"/>
      <c r="I166" s="16"/>
      <c r="J166" s="18" t="str">
        <f t="shared" si="4"/>
        <v/>
      </c>
      <c r="K166" s="16"/>
      <c r="L166" s="18" t="str">
        <f>IF(A166="","",COUNTIF(Œuvres!$C$2:$C$301,A166))</f>
        <v/>
      </c>
      <c r="M166" s="18" t="str">
        <f t="shared" ca="1" si="5"/>
        <v/>
      </c>
      <c r="N166" s="16"/>
    </row>
    <row r="167" spans="1:14" x14ac:dyDescent="0.25">
      <c r="A167" s="16"/>
      <c r="B167" s="16"/>
      <c r="C167" s="16"/>
      <c r="D167" s="16"/>
      <c r="E167" s="16"/>
      <c r="F167" s="16"/>
      <c r="G167" s="16"/>
      <c r="H167" s="16"/>
      <c r="I167" s="16"/>
      <c r="J167" s="18" t="str">
        <f t="shared" si="4"/>
        <v/>
      </c>
      <c r="K167" s="16"/>
      <c r="L167" s="18" t="str">
        <f>IF(A167="","",COUNTIF(Œuvres!$C$2:$C$301,A167))</f>
        <v/>
      </c>
      <c r="M167" s="18" t="str">
        <f t="shared" ca="1" si="5"/>
        <v/>
      </c>
      <c r="N167" s="16"/>
    </row>
    <row r="168" spans="1:14" x14ac:dyDescent="0.25">
      <c r="A168" s="16"/>
      <c r="B168" s="16"/>
      <c r="C168" s="16"/>
      <c r="D168" s="16"/>
      <c r="E168" s="16"/>
      <c r="F168" s="16"/>
      <c r="G168" s="16"/>
      <c r="H168" s="16"/>
      <c r="I168" s="16"/>
      <c r="J168" s="18" t="str">
        <f t="shared" si="4"/>
        <v/>
      </c>
      <c r="K168" s="16"/>
      <c r="L168" s="18" t="str">
        <f>IF(A168="","",COUNTIF(Œuvres!$C$2:$C$301,A168))</f>
        <v/>
      </c>
      <c r="M168" s="18" t="str">
        <f t="shared" ca="1" si="5"/>
        <v/>
      </c>
      <c r="N168" s="16"/>
    </row>
    <row r="169" spans="1:14" x14ac:dyDescent="0.25">
      <c r="A169" s="16"/>
      <c r="B169" s="16"/>
      <c r="C169" s="16"/>
      <c r="D169" s="16"/>
      <c r="E169" s="16"/>
      <c r="F169" s="16"/>
      <c r="G169" s="16"/>
      <c r="H169" s="16"/>
      <c r="I169" s="16"/>
      <c r="J169" s="18" t="str">
        <f t="shared" si="4"/>
        <v/>
      </c>
      <c r="K169" s="16"/>
      <c r="L169" s="18" t="str">
        <f>IF(A169="","",COUNTIF(Œuvres!$C$2:$C$301,A169))</f>
        <v/>
      </c>
      <c r="M169" s="18" t="str">
        <f t="shared" ca="1" si="5"/>
        <v/>
      </c>
      <c r="N169" s="16"/>
    </row>
    <row r="170" spans="1:14" x14ac:dyDescent="0.25">
      <c r="A170" s="16"/>
      <c r="B170" s="16"/>
      <c r="C170" s="16"/>
      <c r="D170" s="16"/>
      <c r="E170" s="16"/>
      <c r="F170" s="16"/>
      <c r="G170" s="16"/>
      <c r="H170" s="16"/>
      <c r="I170" s="16"/>
      <c r="J170" s="18" t="str">
        <f t="shared" si="4"/>
        <v/>
      </c>
      <c r="K170" s="16"/>
      <c r="L170" s="18" t="str">
        <f>IF(A170="","",COUNTIF(Œuvres!$C$2:$C$301,A170))</f>
        <v/>
      </c>
      <c r="M170" s="18" t="str">
        <f t="shared" ca="1" si="5"/>
        <v/>
      </c>
      <c r="N170" s="16"/>
    </row>
    <row r="171" spans="1:14" x14ac:dyDescent="0.25">
      <c r="A171" s="16"/>
      <c r="B171" s="16"/>
      <c r="C171" s="16"/>
      <c r="D171" s="16"/>
      <c r="E171" s="16"/>
      <c r="F171" s="16"/>
      <c r="G171" s="16"/>
      <c r="H171" s="16"/>
      <c r="I171" s="16"/>
      <c r="J171" s="18" t="str">
        <f t="shared" si="4"/>
        <v/>
      </c>
      <c r="K171" s="16"/>
      <c r="L171" s="18" t="str">
        <f>IF(A171="","",COUNTIF(Œuvres!$C$2:$C$301,A171))</f>
        <v/>
      </c>
      <c r="M171" s="18" t="str">
        <f t="shared" ca="1" si="5"/>
        <v/>
      </c>
      <c r="N171" s="16"/>
    </row>
    <row r="172" spans="1:14" x14ac:dyDescent="0.25">
      <c r="A172" s="16"/>
      <c r="B172" s="16"/>
      <c r="C172" s="16"/>
      <c r="D172" s="16"/>
      <c r="E172" s="16"/>
      <c r="F172" s="16"/>
      <c r="G172" s="16"/>
      <c r="H172" s="16"/>
      <c r="I172" s="16"/>
      <c r="J172" s="18" t="str">
        <f t="shared" si="4"/>
        <v/>
      </c>
      <c r="K172" s="16"/>
      <c r="L172" s="18" t="str">
        <f>IF(A172="","",COUNTIF(Œuvres!$C$2:$C$301,A172))</f>
        <v/>
      </c>
      <c r="M172" s="18" t="str">
        <f t="shared" ca="1" si="5"/>
        <v/>
      </c>
      <c r="N172" s="16"/>
    </row>
    <row r="173" spans="1:14" x14ac:dyDescent="0.25">
      <c r="A173" s="16"/>
      <c r="B173" s="16"/>
      <c r="C173" s="16"/>
      <c r="D173" s="16"/>
      <c r="E173" s="16"/>
      <c r="F173" s="16"/>
      <c r="G173" s="16"/>
      <c r="H173" s="16"/>
      <c r="I173" s="16"/>
      <c r="J173" s="18" t="str">
        <f t="shared" si="4"/>
        <v/>
      </c>
      <c r="K173" s="16"/>
      <c r="L173" s="18" t="str">
        <f>IF(A173="","",COUNTIF(Œuvres!$C$2:$C$301,A173))</f>
        <v/>
      </c>
      <c r="M173" s="18" t="str">
        <f t="shared" ca="1" si="5"/>
        <v/>
      </c>
      <c r="N173" s="16"/>
    </row>
    <row r="174" spans="1:14" x14ac:dyDescent="0.25">
      <c r="A174" s="16"/>
      <c r="B174" s="16"/>
      <c r="C174" s="16"/>
      <c r="D174" s="16"/>
      <c r="E174" s="16"/>
      <c r="F174" s="16"/>
      <c r="G174" s="16"/>
      <c r="H174" s="16"/>
      <c r="I174" s="16"/>
      <c r="J174" s="18" t="str">
        <f t="shared" si="4"/>
        <v/>
      </c>
      <c r="K174" s="16"/>
      <c r="L174" s="18" t="str">
        <f>IF(A174="","",COUNTIF(Œuvres!$C$2:$C$301,A174))</f>
        <v/>
      </c>
      <c r="M174" s="18" t="str">
        <f t="shared" ca="1" si="5"/>
        <v/>
      </c>
      <c r="N174" s="16"/>
    </row>
    <row r="175" spans="1:14" x14ac:dyDescent="0.25">
      <c r="A175" s="16"/>
      <c r="B175" s="16"/>
      <c r="C175" s="16"/>
      <c r="D175" s="16"/>
      <c r="E175" s="16"/>
      <c r="F175" s="16"/>
      <c r="G175" s="16"/>
      <c r="H175" s="16"/>
      <c r="I175" s="16"/>
      <c r="J175" s="18" t="str">
        <f t="shared" si="4"/>
        <v/>
      </c>
      <c r="K175" s="16"/>
      <c r="L175" s="18" t="str">
        <f>IF(A175="","",COUNTIF(Œuvres!$C$2:$C$301,A175))</f>
        <v/>
      </c>
      <c r="M175" s="18" t="str">
        <f t="shared" ca="1" si="5"/>
        <v/>
      </c>
      <c r="N175" s="16"/>
    </row>
    <row r="176" spans="1:14" x14ac:dyDescent="0.25">
      <c r="A176" s="16"/>
      <c r="B176" s="16"/>
      <c r="C176" s="16"/>
      <c r="D176" s="16"/>
      <c r="E176" s="16"/>
      <c r="F176" s="16"/>
      <c r="G176" s="16"/>
      <c r="H176" s="16"/>
      <c r="I176" s="16"/>
      <c r="J176" s="18" t="str">
        <f t="shared" si="4"/>
        <v/>
      </c>
      <c r="K176" s="16"/>
      <c r="L176" s="18" t="str">
        <f>IF(A176="","",COUNTIF(Œuvres!$C$2:$C$301,A176))</f>
        <v/>
      </c>
      <c r="M176" s="18" t="str">
        <f t="shared" ca="1" si="5"/>
        <v/>
      </c>
      <c r="N176" s="16"/>
    </row>
    <row r="177" spans="1:14" x14ac:dyDescent="0.25">
      <c r="A177" s="16"/>
      <c r="B177" s="16"/>
      <c r="C177" s="16"/>
      <c r="D177" s="16"/>
      <c r="E177" s="16"/>
      <c r="F177" s="16"/>
      <c r="G177" s="16"/>
      <c r="H177" s="16"/>
      <c r="I177" s="16"/>
      <c r="J177" s="18" t="str">
        <f t="shared" si="4"/>
        <v/>
      </c>
      <c r="K177" s="16"/>
      <c r="L177" s="18" t="str">
        <f>IF(A177="","",COUNTIF(Œuvres!$C$2:$C$301,A177))</f>
        <v/>
      </c>
      <c r="M177" s="18" t="str">
        <f t="shared" ca="1" si="5"/>
        <v/>
      </c>
      <c r="N177" s="16"/>
    </row>
    <row r="178" spans="1:14" x14ac:dyDescent="0.25">
      <c r="A178" s="16"/>
      <c r="B178" s="16"/>
      <c r="C178" s="16"/>
      <c r="D178" s="16"/>
      <c r="E178" s="16"/>
      <c r="F178" s="16"/>
      <c r="G178" s="16"/>
      <c r="H178" s="16"/>
      <c r="I178" s="16"/>
      <c r="J178" s="18" t="str">
        <f t="shared" si="4"/>
        <v/>
      </c>
      <c r="K178" s="16"/>
      <c r="L178" s="18" t="str">
        <f>IF(A178="","",COUNTIF(Œuvres!$C$2:$C$301,A178))</f>
        <v/>
      </c>
      <c r="M178" s="18" t="str">
        <f t="shared" ca="1" si="5"/>
        <v/>
      </c>
      <c r="N178" s="16"/>
    </row>
    <row r="179" spans="1:14" x14ac:dyDescent="0.25">
      <c r="A179" s="16"/>
      <c r="B179" s="16"/>
      <c r="C179" s="16"/>
      <c r="D179" s="16"/>
      <c r="E179" s="16"/>
      <c r="F179" s="16"/>
      <c r="G179" s="16"/>
      <c r="H179" s="16"/>
      <c r="I179" s="16"/>
      <c r="J179" s="18" t="str">
        <f t="shared" si="4"/>
        <v/>
      </c>
      <c r="K179" s="16"/>
      <c r="L179" s="18" t="str">
        <f>IF(A179="","",COUNTIF(Œuvres!$C$2:$C$301,A179))</f>
        <v/>
      </c>
      <c r="M179" s="18" t="str">
        <f t="shared" ca="1" si="5"/>
        <v/>
      </c>
      <c r="N179" s="16"/>
    </row>
    <row r="180" spans="1:14" x14ac:dyDescent="0.25">
      <c r="A180" s="16"/>
      <c r="B180" s="16"/>
      <c r="C180" s="16"/>
      <c r="D180" s="16"/>
      <c r="E180" s="16"/>
      <c r="F180" s="16"/>
      <c r="G180" s="16"/>
      <c r="H180" s="16"/>
      <c r="I180" s="16"/>
      <c r="J180" s="18" t="str">
        <f t="shared" si="4"/>
        <v/>
      </c>
      <c r="K180" s="16"/>
      <c r="L180" s="18" t="str">
        <f>IF(A180="","",COUNTIF(Œuvres!$C$2:$C$301,A180))</f>
        <v/>
      </c>
      <c r="M180" s="18" t="str">
        <f t="shared" ca="1" si="5"/>
        <v/>
      </c>
      <c r="N180" s="16"/>
    </row>
    <row r="181" spans="1:14" x14ac:dyDescent="0.25">
      <c r="A181" s="16"/>
      <c r="B181" s="16"/>
      <c r="C181" s="16"/>
      <c r="D181" s="16"/>
      <c r="E181" s="16"/>
      <c r="F181" s="16"/>
      <c r="G181" s="16"/>
      <c r="H181" s="16"/>
      <c r="I181" s="16"/>
      <c r="J181" s="18" t="str">
        <f t="shared" si="4"/>
        <v/>
      </c>
      <c r="K181" s="16"/>
      <c r="L181" s="18" t="str">
        <f>IF(A181="","",COUNTIF(Œuvres!$C$2:$C$301,A181))</f>
        <v/>
      </c>
      <c r="M181" s="18" t="str">
        <f t="shared" ca="1" si="5"/>
        <v/>
      </c>
      <c r="N181" s="16"/>
    </row>
    <row r="182" spans="1:14" x14ac:dyDescent="0.25">
      <c r="A182" s="16"/>
      <c r="B182" s="16"/>
      <c r="C182" s="16"/>
      <c r="D182" s="16"/>
      <c r="E182" s="16"/>
      <c r="F182" s="16"/>
      <c r="G182" s="16"/>
      <c r="H182" s="16"/>
      <c r="I182" s="16"/>
      <c r="J182" s="18" t="str">
        <f t="shared" si="4"/>
        <v/>
      </c>
      <c r="K182" s="16"/>
      <c r="L182" s="18" t="str">
        <f>IF(A182="","",COUNTIF(Œuvres!$C$2:$C$301,A182))</f>
        <v/>
      </c>
      <c r="M182" s="18" t="str">
        <f t="shared" ca="1" si="5"/>
        <v/>
      </c>
      <c r="N182" s="16"/>
    </row>
    <row r="183" spans="1:14" x14ac:dyDescent="0.25">
      <c r="A183" s="16"/>
      <c r="B183" s="16"/>
      <c r="C183" s="16"/>
      <c r="D183" s="16"/>
      <c r="E183" s="16"/>
      <c r="F183" s="16"/>
      <c r="G183" s="16"/>
      <c r="H183" s="16"/>
      <c r="I183" s="16"/>
      <c r="J183" s="18" t="str">
        <f t="shared" si="4"/>
        <v/>
      </c>
      <c r="K183" s="16"/>
      <c r="L183" s="18" t="str">
        <f>IF(A183="","",COUNTIF(Œuvres!$C$2:$C$301,A183))</f>
        <v/>
      </c>
      <c r="M183" s="18" t="str">
        <f t="shared" ca="1" si="5"/>
        <v/>
      </c>
      <c r="N183" s="16"/>
    </row>
    <row r="184" spans="1:14" x14ac:dyDescent="0.25">
      <c r="A184" s="16"/>
      <c r="B184" s="16"/>
      <c r="C184" s="16"/>
      <c r="D184" s="16"/>
      <c r="E184" s="16"/>
      <c r="F184" s="16"/>
      <c r="G184" s="16"/>
      <c r="H184" s="16"/>
      <c r="I184" s="16"/>
      <c r="J184" s="18" t="str">
        <f t="shared" si="4"/>
        <v/>
      </c>
      <c r="K184" s="16"/>
      <c r="L184" s="18" t="str">
        <f>IF(A184="","",COUNTIF(Œuvres!$C$2:$C$301,A184))</f>
        <v/>
      </c>
      <c r="M184" s="18" t="str">
        <f t="shared" ca="1" si="5"/>
        <v/>
      </c>
      <c r="N184" s="16"/>
    </row>
    <row r="185" spans="1:14" x14ac:dyDescent="0.25">
      <c r="A185" s="16"/>
      <c r="B185" s="16"/>
      <c r="C185" s="16"/>
      <c r="D185" s="16"/>
      <c r="E185" s="16"/>
      <c r="F185" s="16"/>
      <c r="G185" s="16"/>
      <c r="H185" s="16"/>
      <c r="I185" s="16"/>
      <c r="J185" s="18" t="str">
        <f t="shared" si="4"/>
        <v/>
      </c>
      <c r="K185" s="16"/>
      <c r="L185" s="18" t="str">
        <f>IF(A185="","",COUNTIF(Œuvres!$C$2:$C$301,A185))</f>
        <v/>
      </c>
      <c r="M185" s="18" t="str">
        <f t="shared" ca="1" si="5"/>
        <v/>
      </c>
      <c r="N185" s="16"/>
    </row>
    <row r="186" spans="1:14" x14ac:dyDescent="0.25">
      <c r="A186" s="16"/>
      <c r="B186" s="16"/>
      <c r="C186" s="16"/>
      <c r="D186" s="16"/>
      <c r="E186" s="16"/>
      <c r="F186" s="16"/>
      <c r="G186" s="16"/>
      <c r="H186" s="16"/>
      <c r="I186" s="16"/>
      <c r="J186" s="18" t="str">
        <f t="shared" si="4"/>
        <v/>
      </c>
      <c r="K186" s="16"/>
      <c r="L186" s="18" t="str">
        <f>IF(A186="","",COUNTIF(Œuvres!$C$2:$C$301,A186))</f>
        <v/>
      </c>
      <c r="M186" s="18" t="str">
        <f t="shared" ca="1" si="5"/>
        <v/>
      </c>
      <c r="N186" s="16"/>
    </row>
    <row r="187" spans="1:14" x14ac:dyDescent="0.25">
      <c r="A187" s="16"/>
      <c r="B187" s="16"/>
      <c r="C187" s="16"/>
      <c r="D187" s="16"/>
      <c r="E187" s="16"/>
      <c r="F187" s="16"/>
      <c r="G187" s="16"/>
      <c r="H187" s="16"/>
      <c r="I187" s="16"/>
      <c r="J187" s="18" t="str">
        <f t="shared" si="4"/>
        <v/>
      </c>
      <c r="K187" s="16"/>
      <c r="L187" s="18" t="str">
        <f>IF(A187="","",COUNTIF(Œuvres!$C$2:$C$301,A187))</f>
        <v/>
      </c>
      <c r="M187" s="18" t="str">
        <f t="shared" ca="1" si="5"/>
        <v/>
      </c>
      <c r="N187" s="16"/>
    </row>
    <row r="188" spans="1:14" x14ac:dyDescent="0.25">
      <c r="A188" s="16"/>
      <c r="B188" s="16"/>
      <c r="C188" s="16"/>
      <c r="D188" s="16"/>
      <c r="E188" s="16"/>
      <c r="F188" s="16"/>
      <c r="G188" s="16"/>
      <c r="H188" s="16"/>
      <c r="I188" s="16"/>
      <c r="J188" s="18" t="str">
        <f t="shared" si="4"/>
        <v/>
      </c>
      <c r="K188" s="16"/>
      <c r="L188" s="18" t="str">
        <f>IF(A188="","",COUNTIF(Œuvres!$C$2:$C$301,A188))</f>
        <v/>
      </c>
      <c r="M188" s="18" t="str">
        <f t="shared" ca="1" si="5"/>
        <v/>
      </c>
      <c r="N188" s="16"/>
    </row>
    <row r="189" spans="1:14" x14ac:dyDescent="0.25">
      <c r="A189" s="16"/>
      <c r="B189" s="16"/>
      <c r="C189" s="16"/>
      <c r="D189" s="16"/>
      <c r="E189" s="16"/>
      <c r="F189" s="16"/>
      <c r="G189" s="16"/>
      <c r="H189" s="16"/>
      <c r="I189" s="16"/>
      <c r="J189" s="18" t="str">
        <f t="shared" si="4"/>
        <v/>
      </c>
      <c r="K189" s="16"/>
      <c r="L189" s="18" t="str">
        <f>IF(A189="","",COUNTIF(Œuvres!$C$2:$C$301,A189))</f>
        <v/>
      </c>
      <c r="M189" s="18" t="str">
        <f t="shared" ca="1" si="5"/>
        <v/>
      </c>
      <c r="N189" s="16"/>
    </row>
    <row r="190" spans="1:14" x14ac:dyDescent="0.25">
      <c r="A190" s="16"/>
      <c r="B190" s="16"/>
      <c r="C190" s="16"/>
      <c r="D190" s="16"/>
      <c r="E190" s="16"/>
      <c r="F190" s="16"/>
      <c r="G190" s="16"/>
      <c r="H190" s="16"/>
      <c r="I190" s="16"/>
      <c r="J190" s="18" t="str">
        <f t="shared" si="4"/>
        <v/>
      </c>
      <c r="K190" s="16"/>
      <c r="L190" s="18" t="str">
        <f>IF(A190="","",COUNTIF(Œuvres!$C$2:$C$301,A190))</f>
        <v/>
      </c>
      <c r="M190" s="18" t="str">
        <f t="shared" ca="1" si="5"/>
        <v/>
      </c>
      <c r="N190" s="16"/>
    </row>
    <row r="191" spans="1:14" x14ac:dyDescent="0.25">
      <c r="A191" s="16"/>
      <c r="B191" s="16"/>
      <c r="C191" s="16"/>
      <c r="D191" s="16"/>
      <c r="E191" s="16"/>
      <c r="F191" s="16"/>
      <c r="G191" s="16"/>
      <c r="H191" s="16"/>
      <c r="I191" s="16"/>
      <c r="J191" s="18" t="str">
        <f t="shared" si="4"/>
        <v/>
      </c>
      <c r="K191" s="16"/>
      <c r="L191" s="18" t="str">
        <f>IF(A191="","",COUNTIF(Œuvres!$C$2:$C$301,A191))</f>
        <v/>
      </c>
      <c r="M191" s="18" t="str">
        <f t="shared" ca="1" si="5"/>
        <v/>
      </c>
      <c r="N191" s="16"/>
    </row>
    <row r="192" spans="1:14" x14ac:dyDescent="0.25">
      <c r="A192" s="16"/>
      <c r="B192" s="16"/>
      <c r="C192" s="16"/>
      <c r="D192" s="16"/>
      <c r="E192" s="16"/>
      <c r="F192" s="16"/>
      <c r="G192" s="16"/>
      <c r="H192" s="16"/>
      <c r="I192" s="16"/>
      <c r="J192" s="18" t="str">
        <f t="shared" si="4"/>
        <v/>
      </c>
      <c r="K192" s="16"/>
      <c r="L192" s="18" t="str">
        <f>IF(A192="","",COUNTIF(Œuvres!$C$2:$C$301,A192))</f>
        <v/>
      </c>
      <c r="M192" s="18" t="str">
        <f t="shared" ca="1" si="5"/>
        <v/>
      </c>
      <c r="N192" s="16"/>
    </row>
    <row r="193" spans="1:14" x14ac:dyDescent="0.25">
      <c r="A193" s="16"/>
      <c r="B193" s="16"/>
      <c r="C193" s="16"/>
      <c r="D193" s="16"/>
      <c r="E193" s="16"/>
      <c r="F193" s="16"/>
      <c r="G193" s="16"/>
      <c r="H193" s="16"/>
      <c r="I193" s="16"/>
      <c r="J193" s="18" t="str">
        <f t="shared" si="4"/>
        <v/>
      </c>
      <c r="K193" s="16"/>
      <c r="L193" s="18" t="str">
        <f>IF(A193="","",COUNTIF(Œuvres!$C$2:$C$301,A193))</f>
        <v/>
      </c>
      <c r="M193" s="18" t="str">
        <f t="shared" ca="1" si="5"/>
        <v/>
      </c>
      <c r="N193" s="16"/>
    </row>
    <row r="194" spans="1:14" x14ac:dyDescent="0.25">
      <c r="A194" s="16"/>
      <c r="B194" s="16"/>
      <c r="C194" s="16"/>
      <c r="D194" s="16"/>
      <c r="E194" s="16"/>
      <c r="F194" s="16"/>
      <c r="G194" s="16"/>
      <c r="H194" s="16"/>
      <c r="I194" s="16"/>
      <c r="J194" s="18" t="str">
        <f t="shared" ref="J194:J257" si="6">IF(A194="","","artistes/"&amp;A194&amp;".md")</f>
        <v/>
      </c>
      <c r="K194" s="16"/>
      <c r="L194" s="18" t="str">
        <f>IF(A194="","",COUNTIF(Œuvres!$C$2:$C$301,A194))</f>
        <v/>
      </c>
      <c r="M194" s="18" t="str">
        <f t="shared" ref="M194:M257" ca="1" si="7">IF(D194="","",IF(YEAR(TODAY())&gt;=D194+71,"Oui (à vérifier)","Non"))</f>
        <v/>
      </c>
      <c r="N194" s="16"/>
    </row>
    <row r="195" spans="1:14" x14ac:dyDescent="0.25">
      <c r="A195" s="16"/>
      <c r="B195" s="16"/>
      <c r="C195" s="16"/>
      <c r="D195" s="16"/>
      <c r="E195" s="16"/>
      <c r="F195" s="16"/>
      <c r="G195" s="16"/>
      <c r="H195" s="16"/>
      <c r="I195" s="16"/>
      <c r="J195" s="18" t="str">
        <f t="shared" si="6"/>
        <v/>
      </c>
      <c r="K195" s="16"/>
      <c r="L195" s="18" t="str">
        <f>IF(A195="","",COUNTIF(Œuvres!$C$2:$C$301,A195))</f>
        <v/>
      </c>
      <c r="M195" s="18" t="str">
        <f t="shared" ca="1" si="7"/>
        <v/>
      </c>
      <c r="N195" s="16"/>
    </row>
    <row r="196" spans="1:14" x14ac:dyDescent="0.25">
      <c r="A196" s="16"/>
      <c r="B196" s="16"/>
      <c r="C196" s="16"/>
      <c r="D196" s="16"/>
      <c r="E196" s="16"/>
      <c r="F196" s="16"/>
      <c r="G196" s="16"/>
      <c r="H196" s="16"/>
      <c r="I196" s="16"/>
      <c r="J196" s="18" t="str">
        <f t="shared" si="6"/>
        <v/>
      </c>
      <c r="K196" s="16"/>
      <c r="L196" s="18" t="str">
        <f>IF(A196="","",COUNTIF(Œuvres!$C$2:$C$301,A196))</f>
        <v/>
      </c>
      <c r="M196" s="18" t="str">
        <f t="shared" ca="1" si="7"/>
        <v/>
      </c>
      <c r="N196" s="16"/>
    </row>
    <row r="197" spans="1:14" x14ac:dyDescent="0.25">
      <c r="A197" s="16"/>
      <c r="B197" s="16"/>
      <c r="C197" s="16"/>
      <c r="D197" s="16"/>
      <c r="E197" s="16"/>
      <c r="F197" s="16"/>
      <c r="G197" s="16"/>
      <c r="H197" s="16"/>
      <c r="I197" s="16"/>
      <c r="J197" s="18" t="str">
        <f t="shared" si="6"/>
        <v/>
      </c>
      <c r="K197" s="16"/>
      <c r="L197" s="18" t="str">
        <f>IF(A197="","",COUNTIF(Œuvres!$C$2:$C$301,A197))</f>
        <v/>
      </c>
      <c r="M197" s="18" t="str">
        <f t="shared" ca="1" si="7"/>
        <v/>
      </c>
      <c r="N197" s="16"/>
    </row>
    <row r="198" spans="1:14" x14ac:dyDescent="0.25">
      <c r="A198" s="16"/>
      <c r="B198" s="16"/>
      <c r="C198" s="16"/>
      <c r="D198" s="16"/>
      <c r="E198" s="16"/>
      <c r="F198" s="16"/>
      <c r="G198" s="16"/>
      <c r="H198" s="16"/>
      <c r="I198" s="16"/>
      <c r="J198" s="18" t="str">
        <f t="shared" si="6"/>
        <v/>
      </c>
      <c r="K198" s="16"/>
      <c r="L198" s="18" t="str">
        <f>IF(A198="","",COUNTIF(Œuvres!$C$2:$C$301,A198))</f>
        <v/>
      </c>
      <c r="M198" s="18" t="str">
        <f t="shared" ca="1" si="7"/>
        <v/>
      </c>
      <c r="N198" s="16"/>
    </row>
    <row r="199" spans="1:14" x14ac:dyDescent="0.25">
      <c r="A199" s="16"/>
      <c r="B199" s="16"/>
      <c r="C199" s="16"/>
      <c r="D199" s="16"/>
      <c r="E199" s="16"/>
      <c r="F199" s="16"/>
      <c r="G199" s="16"/>
      <c r="H199" s="16"/>
      <c r="I199" s="16"/>
      <c r="J199" s="18" t="str">
        <f t="shared" si="6"/>
        <v/>
      </c>
      <c r="K199" s="16"/>
      <c r="L199" s="18" t="str">
        <f>IF(A199="","",COUNTIF(Œuvres!$C$2:$C$301,A199))</f>
        <v/>
      </c>
      <c r="M199" s="18" t="str">
        <f t="shared" ca="1" si="7"/>
        <v/>
      </c>
      <c r="N199" s="16"/>
    </row>
    <row r="200" spans="1:14" x14ac:dyDescent="0.25">
      <c r="A200" s="16"/>
      <c r="B200" s="16"/>
      <c r="C200" s="16"/>
      <c r="D200" s="16"/>
      <c r="E200" s="16"/>
      <c r="F200" s="16"/>
      <c r="G200" s="16"/>
      <c r="H200" s="16"/>
      <c r="I200" s="16"/>
      <c r="J200" s="18" t="str">
        <f t="shared" si="6"/>
        <v/>
      </c>
      <c r="K200" s="16"/>
      <c r="L200" s="18" t="str">
        <f>IF(A200="","",COUNTIF(Œuvres!$C$2:$C$301,A200))</f>
        <v/>
      </c>
      <c r="M200" s="18" t="str">
        <f t="shared" ca="1" si="7"/>
        <v/>
      </c>
      <c r="N200" s="16"/>
    </row>
    <row r="201" spans="1:14" x14ac:dyDescent="0.25">
      <c r="A201" s="16"/>
      <c r="B201" s="16"/>
      <c r="C201" s="16"/>
      <c r="D201" s="16"/>
      <c r="E201" s="16"/>
      <c r="F201" s="16"/>
      <c r="G201" s="16"/>
      <c r="H201" s="16"/>
      <c r="I201" s="16"/>
      <c r="J201" s="18" t="str">
        <f t="shared" si="6"/>
        <v/>
      </c>
      <c r="K201" s="16"/>
      <c r="L201" s="18" t="str">
        <f>IF(A201="","",COUNTIF(Œuvres!$C$2:$C$301,A201))</f>
        <v/>
      </c>
      <c r="M201" s="18" t="str">
        <f t="shared" ca="1" si="7"/>
        <v/>
      </c>
      <c r="N201" s="16"/>
    </row>
    <row r="202" spans="1:14" x14ac:dyDescent="0.25">
      <c r="A202" s="16"/>
      <c r="B202" s="16"/>
      <c r="C202" s="16"/>
      <c r="D202" s="16"/>
      <c r="E202" s="16"/>
      <c r="F202" s="16"/>
      <c r="G202" s="16"/>
      <c r="H202" s="16"/>
      <c r="I202" s="16"/>
      <c r="J202" s="18" t="str">
        <f t="shared" si="6"/>
        <v/>
      </c>
      <c r="K202" s="16"/>
      <c r="L202" s="18" t="str">
        <f>IF(A202="","",COUNTIF(Œuvres!$C$2:$C$301,A202))</f>
        <v/>
      </c>
      <c r="M202" s="18" t="str">
        <f t="shared" ca="1" si="7"/>
        <v/>
      </c>
      <c r="N202" s="16"/>
    </row>
    <row r="203" spans="1:14" x14ac:dyDescent="0.25">
      <c r="A203" s="16"/>
      <c r="B203" s="16"/>
      <c r="C203" s="16"/>
      <c r="D203" s="16"/>
      <c r="E203" s="16"/>
      <c r="F203" s="16"/>
      <c r="G203" s="16"/>
      <c r="H203" s="16"/>
      <c r="I203" s="16"/>
      <c r="J203" s="18" t="str">
        <f t="shared" si="6"/>
        <v/>
      </c>
      <c r="K203" s="16"/>
      <c r="L203" s="18" t="str">
        <f>IF(A203="","",COUNTIF(Œuvres!$C$2:$C$301,A203))</f>
        <v/>
      </c>
      <c r="M203" s="18" t="str">
        <f t="shared" ca="1" si="7"/>
        <v/>
      </c>
      <c r="N203" s="16"/>
    </row>
    <row r="204" spans="1:14" x14ac:dyDescent="0.25">
      <c r="A204" s="16"/>
      <c r="B204" s="16"/>
      <c r="C204" s="16"/>
      <c r="D204" s="16"/>
      <c r="E204" s="16"/>
      <c r="F204" s="16"/>
      <c r="G204" s="16"/>
      <c r="H204" s="16"/>
      <c r="I204" s="16"/>
      <c r="J204" s="18" t="str">
        <f t="shared" si="6"/>
        <v/>
      </c>
      <c r="K204" s="16"/>
      <c r="L204" s="18" t="str">
        <f>IF(A204="","",COUNTIF(Œuvres!$C$2:$C$301,A204))</f>
        <v/>
      </c>
      <c r="M204" s="18" t="str">
        <f t="shared" ca="1" si="7"/>
        <v/>
      </c>
      <c r="N204" s="16"/>
    </row>
    <row r="205" spans="1:14" x14ac:dyDescent="0.25">
      <c r="A205" s="16"/>
      <c r="B205" s="16"/>
      <c r="C205" s="16"/>
      <c r="D205" s="16"/>
      <c r="E205" s="16"/>
      <c r="F205" s="16"/>
      <c r="G205" s="16"/>
      <c r="H205" s="16"/>
      <c r="I205" s="16"/>
      <c r="J205" s="18" t="str">
        <f t="shared" si="6"/>
        <v/>
      </c>
      <c r="K205" s="16"/>
      <c r="L205" s="18" t="str">
        <f>IF(A205="","",COUNTIF(Œuvres!$C$2:$C$301,A205))</f>
        <v/>
      </c>
      <c r="M205" s="18" t="str">
        <f t="shared" ca="1" si="7"/>
        <v/>
      </c>
      <c r="N205" s="16"/>
    </row>
    <row r="206" spans="1:14" x14ac:dyDescent="0.25">
      <c r="A206" s="16"/>
      <c r="B206" s="16"/>
      <c r="C206" s="16"/>
      <c r="D206" s="16"/>
      <c r="E206" s="16"/>
      <c r="F206" s="16"/>
      <c r="G206" s="16"/>
      <c r="H206" s="16"/>
      <c r="I206" s="16"/>
      <c r="J206" s="18" t="str">
        <f t="shared" si="6"/>
        <v/>
      </c>
      <c r="K206" s="16"/>
      <c r="L206" s="18" t="str">
        <f>IF(A206="","",COUNTIF(Œuvres!$C$2:$C$301,A206))</f>
        <v/>
      </c>
      <c r="M206" s="18" t="str">
        <f t="shared" ca="1" si="7"/>
        <v/>
      </c>
      <c r="N206" s="16"/>
    </row>
    <row r="207" spans="1:14" x14ac:dyDescent="0.25">
      <c r="A207" s="16"/>
      <c r="B207" s="16"/>
      <c r="C207" s="16"/>
      <c r="D207" s="16"/>
      <c r="E207" s="16"/>
      <c r="F207" s="16"/>
      <c r="G207" s="16"/>
      <c r="H207" s="16"/>
      <c r="I207" s="16"/>
      <c r="J207" s="18" t="str">
        <f t="shared" si="6"/>
        <v/>
      </c>
      <c r="K207" s="16"/>
      <c r="L207" s="18" t="str">
        <f>IF(A207="","",COUNTIF(Œuvres!$C$2:$C$301,A207))</f>
        <v/>
      </c>
      <c r="M207" s="18" t="str">
        <f t="shared" ca="1" si="7"/>
        <v/>
      </c>
      <c r="N207" s="16"/>
    </row>
    <row r="208" spans="1:14" x14ac:dyDescent="0.25">
      <c r="A208" s="16"/>
      <c r="B208" s="16"/>
      <c r="C208" s="16"/>
      <c r="D208" s="16"/>
      <c r="E208" s="16"/>
      <c r="F208" s="16"/>
      <c r="G208" s="16"/>
      <c r="H208" s="16"/>
      <c r="I208" s="16"/>
      <c r="J208" s="18" t="str">
        <f t="shared" si="6"/>
        <v/>
      </c>
      <c r="K208" s="16"/>
      <c r="L208" s="18" t="str">
        <f>IF(A208="","",COUNTIF(Œuvres!$C$2:$C$301,A208))</f>
        <v/>
      </c>
      <c r="M208" s="18" t="str">
        <f t="shared" ca="1" si="7"/>
        <v/>
      </c>
      <c r="N208" s="16"/>
    </row>
    <row r="209" spans="1:14" x14ac:dyDescent="0.25">
      <c r="A209" s="16"/>
      <c r="B209" s="16"/>
      <c r="C209" s="16"/>
      <c r="D209" s="16"/>
      <c r="E209" s="16"/>
      <c r="F209" s="16"/>
      <c r="G209" s="16"/>
      <c r="H209" s="16"/>
      <c r="I209" s="16"/>
      <c r="J209" s="18" t="str">
        <f t="shared" si="6"/>
        <v/>
      </c>
      <c r="K209" s="16"/>
      <c r="L209" s="18" t="str">
        <f>IF(A209="","",COUNTIF(Œuvres!$C$2:$C$301,A209))</f>
        <v/>
      </c>
      <c r="M209" s="18" t="str">
        <f t="shared" ca="1" si="7"/>
        <v/>
      </c>
      <c r="N209" s="16"/>
    </row>
    <row r="210" spans="1:14" x14ac:dyDescent="0.25">
      <c r="A210" s="16"/>
      <c r="B210" s="16"/>
      <c r="C210" s="16"/>
      <c r="D210" s="16"/>
      <c r="E210" s="16"/>
      <c r="F210" s="16"/>
      <c r="G210" s="16"/>
      <c r="H210" s="16"/>
      <c r="I210" s="16"/>
      <c r="J210" s="18" t="str">
        <f t="shared" si="6"/>
        <v/>
      </c>
      <c r="K210" s="16"/>
      <c r="L210" s="18" t="str">
        <f>IF(A210="","",COUNTIF(Œuvres!$C$2:$C$301,A210))</f>
        <v/>
      </c>
      <c r="M210" s="18" t="str">
        <f t="shared" ca="1" si="7"/>
        <v/>
      </c>
      <c r="N210" s="16"/>
    </row>
    <row r="211" spans="1:14" x14ac:dyDescent="0.25">
      <c r="A211" s="16"/>
      <c r="B211" s="16"/>
      <c r="C211" s="16"/>
      <c r="D211" s="16"/>
      <c r="E211" s="16"/>
      <c r="F211" s="16"/>
      <c r="G211" s="16"/>
      <c r="H211" s="16"/>
      <c r="I211" s="16"/>
      <c r="J211" s="18" t="str">
        <f t="shared" si="6"/>
        <v/>
      </c>
      <c r="K211" s="16"/>
      <c r="L211" s="18" t="str">
        <f>IF(A211="","",COUNTIF(Œuvres!$C$2:$C$301,A211))</f>
        <v/>
      </c>
      <c r="M211" s="18" t="str">
        <f t="shared" ca="1" si="7"/>
        <v/>
      </c>
      <c r="N211" s="16"/>
    </row>
    <row r="212" spans="1:14" x14ac:dyDescent="0.25">
      <c r="A212" s="16"/>
      <c r="B212" s="16"/>
      <c r="C212" s="16"/>
      <c r="D212" s="16"/>
      <c r="E212" s="16"/>
      <c r="F212" s="16"/>
      <c r="G212" s="16"/>
      <c r="H212" s="16"/>
      <c r="I212" s="16"/>
      <c r="J212" s="18" t="str">
        <f t="shared" si="6"/>
        <v/>
      </c>
      <c r="K212" s="16"/>
      <c r="L212" s="18" t="str">
        <f>IF(A212="","",COUNTIF(Œuvres!$C$2:$C$301,A212))</f>
        <v/>
      </c>
      <c r="M212" s="18" t="str">
        <f t="shared" ca="1" si="7"/>
        <v/>
      </c>
      <c r="N212" s="16"/>
    </row>
    <row r="213" spans="1:14" x14ac:dyDescent="0.25">
      <c r="A213" s="16"/>
      <c r="B213" s="16"/>
      <c r="C213" s="16"/>
      <c r="D213" s="16"/>
      <c r="E213" s="16"/>
      <c r="F213" s="16"/>
      <c r="G213" s="16"/>
      <c r="H213" s="16"/>
      <c r="I213" s="16"/>
      <c r="J213" s="18" t="str">
        <f t="shared" si="6"/>
        <v/>
      </c>
      <c r="K213" s="16"/>
      <c r="L213" s="18" t="str">
        <f>IF(A213="","",COUNTIF(Œuvres!$C$2:$C$301,A213))</f>
        <v/>
      </c>
      <c r="M213" s="18" t="str">
        <f t="shared" ca="1" si="7"/>
        <v/>
      </c>
      <c r="N213" s="16"/>
    </row>
    <row r="214" spans="1:14" x14ac:dyDescent="0.25">
      <c r="A214" s="16"/>
      <c r="B214" s="16"/>
      <c r="C214" s="16"/>
      <c r="D214" s="16"/>
      <c r="E214" s="16"/>
      <c r="F214" s="16"/>
      <c r="G214" s="16"/>
      <c r="H214" s="16"/>
      <c r="I214" s="16"/>
      <c r="J214" s="18" t="str">
        <f t="shared" si="6"/>
        <v/>
      </c>
      <c r="K214" s="16"/>
      <c r="L214" s="18" t="str">
        <f>IF(A214="","",COUNTIF(Œuvres!$C$2:$C$301,A214))</f>
        <v/>
      </c>
      <c r="M214" s="18" t="str">
        <f t="shared" ca="1" si="7"/>
        <v/>
      </c>
      <c r="N214" s="16"/>
    </row>
    <row r="215" spans="1:14" x14ac:dyDescent="0.25">
      <c r="A215" s="16"/>
      <c r="B215" s="16"/>
      <c r="C215" s="16"/>
      <c r="D215" s="16"/>
      <c r="E215" s="16"/>
      <c r="F215" s="16"/>
      <c r="G215" s="16"/>
      <c r="H215" s="16"/>
      <c r="I215" s="16"/>
      <c r="J215" s="18" t="str">
        <f t="shared" si="6"/>
        <v/>
      </c>
      <c r="K215" s="16"/>
      <c r="L215" s="18" t="str">
        <f>IF(A215="","",COUNTIF(Œuvres!$C$2:$C$301,A215))</f>
        <v/>
      </c>
      <c r="M215" s="18" t="str">
        <f t="shared" ca="1" si="7"/>
        <v/>
      </c>
      <c r="N215" s="16"/>
    </row>
    <row r="216" spans="1:14" x14ac:dyDescent="0.25">
      <c r="A216" s="16"/>
      <c r="B216" s="16"/>
      <c r="C216" s="16"/>
      <c r="D216" s="16"/>
      <c r="E216" s="16"/>
      <c r="F216" s="16"/>
      <c r="G216" s="16"/>
      <c r="H216" s="16"/>
      <c r="I216" s="16"/>
      <c r="J216" s="18" t="str">
        <f t="shared" si="6"/>
        <v/>
      </c>
      <c r="K216" s="16"/>
      <c r="L216" s="18" t="str">
        <f>IF(A216="","",COUNTIF(Œuvres!$C$2:$C$301,A216))</f>
        <v/>
      </c>
      <c r="M216" s="18" t="str">
        <f t="shared" ca="1" si="7"/>
        <v/>
      </c>
      <c r="N216" s="16"/>
    </row>
    <row r="217" spans="1:14" x14ac:dyDescent="0.25">
      <c r="A217" s="16"/>
      <c r="B217" s="16"/>
      <c r="C217" s="16"/>
      <c r="D217" s="16"/>
      <c r="E217" s="16"/>
      <c r="F217" s="16"/>
      <c r="G217" s="16"/>
      <c r="H217" s="16"/>
      <c r="I217" s="16"/>
      <c r="J217" s="18" t="str">
        <f t="shared" si="6"/>
        <v/>
      </c>
      <c r="K217" s="16"/>
      <c r="L217" s="18" t="str">
        <f>IF(A217="","",COUNTIF(Œuvres!$C$2:$C$301,A217))</f>
        <v/>
      </c>
      <c r="M217" s="18" t="str">
        <f t="shared" ca="1" si="7"/>
        <v/>
      </c>
      <c r="N217" s="16"/>
    </row>
    <row r="218" spans="1:14" x14ac:dyDescent="0.25">
      <c r="A218" s="16"/>
      <c r="B218" s="16"/>
      <c r="C218" s="16"/>
      <c r="D218" s="16"/>
      <c r="E218" s="16"/>
      <c r="F218" s="16"/>
      <c r="G218" s="16"/>
      <c r="H218" s="16"/>
      <c r="I218" s="16"/>
      <c r="J218" s="18" t="str">
        <f t="shared" si="6"/>
        <v/>
      </c>
      <c r="K218" s="16"/>
      <c r="L218" s="18" t="str">
        <f>IF(A218="","",COUNTIF(Œuvres!$C$2:$C$301,A218))</f>
        <v/>
      </c>
      <c r="M218" s="18" t="str">
        <f t="shared" ca="1" si="7"/>
        <v/>
      </c>
      <c r="N218" s="16"/>
    </row>
    <row r="219" spans="1:14" x14ac:dyDescent="0.25">
      <c r="A219" s="16"/>
      <c r="B219" s="16"/>
      <c r="C219" s="16"/>
      <c r="D219" s="16"/>
      <c r="E219" s="16"/>
      <c r="F219" s="16"/>
      <c r="G219" s="16"/>
      <c r="H219" s="16"/>
      <c r="I219" s="16"/>
      <c r="J219" s="18" t="str">
        <f t="shared" si="6"/>
        <v/>
      </c>
      <c r="K219" s="16"/>
      <c r="L219" s="18" t="str">
        <f>IF(A219="","",COUNTIF(Œuvres!$C$2:$C$301,A219))</f>
        <v/>
      </c>
      <c r="M219" s="18" t="str">
        <f t="shared" ca="1" si="7"/>
        <v/>
      </c>
      <c r="N219" s="16"/>
    </row>
    <row r="220" spans="1:14" x14ac:dyDescent="0.25">
      <c r="A220" s="16"/>
      <c r="B220" s="16"/>
      <c r="C220" s="16"/>
      <c r="D220" s="16"/>
      <c r="E220" s="16"/>
      <c r="F220" s="16"/>
      <c r="G220" s="16"/>
      <c r="H220" s="16"/>
      <c r="I220" s="16"/>
      <c r="J220" s="18" t="str">
        <f t="shared" si="6"/>
        <v/>
      </c>
      <c r="K220" s="16"/>
      <c r="L220" s="18" t="str">
        <f>IF(A220="","",COUNTIF(Œuvres!$C$2:$C$301,A220))</f>
        <v/>
      </c>
      <c r="M220" s="18" t="str">
        <f t="shared" ca="1" si="7"/>
        <v/>
      </c>
      <c r="N220" s="16"/>
    </row>
    <row r="221" spans="1:14" x14ac:dyDescent="0.25">
      <c r="A221" s="16"/>
      <c r="B221" s="16"/>
      <c r="C221" s="16"/>
      <c r="D221" s="16"/>
      <c r="E221" s="16"/>
      <c r="F221" s="16"/>
      <c r="G221" s="16"/>
      <c r="H221" s="16"/>
      <c r="I221" s="16"/>
      <c r="J221" s="18" t="str">
        <f t="shared" si="6"/>
        <v/>
      </c>
      <c r="K221" s="16"/>
      <c r="L221" s="18" t="str">
        <f>IF(A221="","",COUNTIF(Œuvres!$C$2:$C$301,A221))</f>
        <v/>
      </c>
      <c r="M221" s="18" t="str">
        <f t="shared" ca="1" si="7"/>
        <v/>
      </c>
      <c r="N221" s="16"/>
    </row>
    <row r="222" spans="1:14" x14ac:dyDescent="0.25">
      <c r="A222" s="16"/>
      <c r="B222" s="16"/>
      <c r="C222" s="16"/>
      <c r="D222" s="16"/>
      <c r="E222" s="16"/>
      <c r="F222" s="16"/>
      <c r="G222" s="16"/>
      <c r="H222" s="16"/>
      <c r="I222" s="16"/>
      <c r="J222" s="18" t="str">
        <f t="shared" si="6"/>
        <v/>
      </c>
      <c r="K222" s="16"/>
      <c r="L222" s="18" t="str">
        <f>IF(A222="","",COUNTIF(Œuvres!$C$2:$C$301,A222))</f>
        <v/>
      </c>
      <c r="M222" s="18" t="str">
        <f t="shared" ca="1" si="7"/>
        <v/>
      </c>
      <c r="N222" s="16"/>
    </row>
    <row r="223" spans="1:14" x14ac:dyDescent="0.25">
      <c r="A223" s="16"/>
      <c r="B223" s="16"/>
      <c r="C223" s="16"/>
      <c r="D223" s="16"/>
      <c r="E223" s="16"/>
      <c r="F223" s="16"/>
      <c r="G223" s="16"/>
      <c r="H223" s="16"/>
      <c r="I223" s="16"/>
      <c r="J223" s="18" t="str">
        <f t="shared" si="6"/>
        <v/>
      </c>
      <c r="K223" s="16"/>
      <c r="L223" s="18" t="str">
        <f>IF(A223="","",COUNTIF(Œuvres!$C$2:$C$301,A223))</f>
        <v/>
      </c>
      <c r="M223" s="18" t="str">
        <f t="shared" ca="1" si="7"/>
        <v/>
      </c>
      <c r="N223" s="16"/>
    </row>
    <row r="224" spans="1:14" x14ac:dyDescent="0.25">
      <c r="A224" s="16"/>
      <c r="B224" s="16"/>
      <c r="C224" s="16"/>
      <c r="D224" s="16"/>
      <c r="E224" s="16"/>
      <c r="F224" s="16"/>
      <c r="G224" s="16"/>
      <c r="H224" s="16"/>
      <c r="I224" s="16"/>
      <c r="J224" s="18" t="str">
        <f t="shared" si="6"/>
        <v/>
      </c>
      <c r="K224" s="16"/>
      <c r="L224" s="18" t="str">
        <f>IF(A224="","",COUNTIF(Œuvres!$C$2:$C$301,A224))</f>
        <v/>
      </c>
      <c r="M224" s="18" t="str">
        <f t="shared" ca="1" si="7"/>
        <v/>
      </c>
      <c r="N224" s="16"/>
    </row>
    <row r="225" spans="1:14" x14ac:dyDescent="0.25">
      <c r="A225" s="16"/>
      <c r="B225" s="16"/>
      <c r="C225" s="16"/>
      <c r="D225" s="16"/>
      <c r="E225" s="16"/>
      <c r="F225" s="16"/>
      <c r="G225" s="16"/>
      <c r="H225" s="16"/>
      <c r="I225" s="16"/>
      <c r="J225" s="18" t="str">
        <f t="shared" si="6"/>
        <v/>
      </c>
      <c r="K225" s="16"/>
      <c r="L225" s="18" t="str">
        <f>IF(A225="","",COUNTIF(Œuvres!$C$2:$C$301,A225))</f>
        <v/>
      </c>
      <c r="M225" s="18" t="str">
        <f t="shared" ca="1" si="7"/>
        <v/>
      </c>
      <c r="N225" s="16"/>
    </row>
    <row r="226" spans="1:14" x14ac:dyDescent="0.25">
      <c r="A226" s="16"/>
      <c r="B226" s="16"/>
      <c r="C226" s="16"/>
      <c r="D226" s="16"/>
      <c r="E226" s="16"/>
      <c r="F226" s="16"/>
      <c r="G226" s="16"/>
      <c r="H226" s="16"/>
      <c r="I226" s="16"/>
      <c r="J226" s="18" t="str">
        <f t="shared" si="6"/>
        <v/>
      </c>
      <c r="K226" s="16"/>
      <c r="L226" s="18" t="str">
        <f>IF(A226="","",COUNTIF(Œuvres!$C$2:$C$301,A226))</f>
        <v/>
      </c>
      <c r="M226" s="18" t="str">
        <f t="shared" ca="1" si="7"/>
        <v/>
      </c>
      <c r="N226" s="16"/>
    </row>
    <row r="227" spans="1:14" x14ac:dyDescent="0.25">
      <c r="A227" s="16"/>
      <c r="B227" s="16"/>
      <c r="C227" s="16"/>
      <c r="D227" s="16"/>
      <c r="E227" s="16"/>
      <c r="F227" s="16"/>
      <c r="G227" s="16"/>
      <c r="H227" s="16"/>
      <c r="I227" s="16"/>
      <c r="J227" s="18" t="str">
        <f t="shared" si="6"/>
        <v/>
      </c>
      <c r="K227" s="16"/>
      <c r="L227" s="18" t="str">
        <f>IF(A227="","",COUNTIF(Œuvres!$C$2:$C$301,A227))</f>
        <v/>
      </c>
      <c r="M227" s="18" t="str">
        <f t="shared" ca="1" si="7"/>
        <v/>
      </c>
      <c r="N227" s="16"/>
    </row>
    <row r="228" spans="1:14" x14ac:dyDescent="0.25">
      <c r="A228" s="16"/>
      <c r="B228" s="16"/>
      <c r="C228" s="16"/>
      <c r="D228" s="16"/>
      <c r="E228" s="16"/>
      <c r="F228" s="16"/>
      <c r="G228" s="16"/>
      <c r="H228" s="16"/>
      <c r="I228" s="16"/>
      <c r="J228" s="18" t="str">
        <f t="shared" si="6"/>
        <v/>
      </c>
      <c r="K228" s="16"/>
      <c r="L228" s="18" t="str">
        <f>IF(A228="","",COUNTIF(Œuvres!$C$2:$C$301,A228))</f>
        <v/>
      </c>
      <c r="M228" s="18" t="str">
        <f t="shared" ca="1" si="7"/>
        <v/>
      </c>
      <c r="N228" s="16"/>
    </row>
    <row r="229" spans="1:14" x14ac:dyDescent="0.25">
      <c r="A229" s="16"/>
      <c r="B229" s="16"/>
      <c r="C229" s="16"/>
      <c r="D229" s="16"/>
      <c r="E229" s="16"/>
      <c r="F229" s="16"/>
      <c r="G229" s="16"/>
      <c r="H229" s="16"/>
      <c r="I229" s="16"/>
      <c r="J229" s="18" t="str">
        <f t="shared" si="6"/>
        <v/>
      </c>
      <c r="K229" s="16"/>
      <c r="L229" s="18" t="str">
        <f>IF(A229="","",COUNTIF(Œuvres!$C$2:$C$301,A229))</f>
        <v/>
      </c>
      <c r="M229" s="18" t="str">
        <f t="shared" ca="1" si="7"/>
        <v/>
      </c>
      <c r="N229" s="16"/>
    </row>
    <row r="230" spans="1:14" x14ac:dyDescent="0.25">
      <c r="A230" s="16"/>
      <c r="B230" s="16"/>
      <c r="C230" s="16"/>
      <c r="D230" s="16"/>
      <c r="E230" s="16"/>
      <c r="F230" s="16"/>
      <c r="G230" s="16"/>
      <c r="H230" s="16"/>
      <c r="I230" s="16"/>
      <c r="J230" s="18" t="str">
        <f t="shared" si="6"/>
        <v/>
      </c>
      <c r="K230" s="16"/>
      <c r="L230" s="18" t="str">
        <f>IF(A230="","",COUNTIF(Œuvres!$C$2:$C$301,A230))</f>
        <v/>
      </c>
      <c r="M230" s="18" t="str">
        <f t="shared" ca="1" si="7"/>
        <v/>
      </c>
      <c r="N230" s="16"/>
    </row>
    <row r="231" spans="1:14" x14ac:dyDescent="0.25">
      <c r="A231" s="16"/>
      <c r="B231" s="16"/>
      <c r="C231" s="16"/>
      <c r="D231" s="16"/>
      <c r="E231" s="16"/>
      <c r="F231" s="16"/>
      <c r="G231" s="16"/>
      <c r="H231" s="16"/>
      <c r="I231" s="16"/>
      <c r="J231" s="18" t="str">
        <f t="shared" si="6"/>
        <v/>
      </c>
      <c r="K231" s="16"/>
      <c r="L231" s="18" t="str">
        <f>IF(A231="","",COUNTIF(Œuvres!$C$2:$C$301,A231))</f>
        <v/>
      </c>
      <c r="M231" s="18" t="str">
        <f t="shared" ca="1" si="7"/>
        <v/>
      </c>
      <c r="N231" s="16"/>
    </row>
    <row r="232" spans="1:14" x14ac:dyDescent="0.25">
      <c r="A232" s="16"/>
      <c r="B232" s="16"/>
      <c r="C232" s="16"/>
      <c r="D232" s="16"/>
      <c r="E232" s="16"/>
      <c r="F232" s="16"/>
      <c r="G232" s="16"/>
      <c r="H232" s="16"/>
      <c r="I232" s="16"/>
      <c r="J232" s="18" t="str">
        <f t="shared" si="6"/>
        <v/>
      </c>
      <c r="K232" s="16"/>
      <c r="L232" s="18" t="str">
        <f>IF(A232="","",COUNTIF(Œuvres!$C$2:$C$301,A232))</f>
        <v/>
      </c>
      <c r="M232" s="18" t="str">
        <f t="shared" ca="1" si="7"/>
        <v/>
      </c>
      <c r="N232" s="16"/>
    </row>
    <row r="233" spans="1:14" x14ac:dyDescent="0.25">
      <c r="A233" s="16"/>
      <c r="B233" s="16"/>
      <c r="C233" s="16"/>
      <c r="D233" s="16"/>
      <c r="E233" s="16"/>
      <c r="F233" s="16"/>
      <c r="G233" s="16"/>
      <c r="H233" s="16"/>
      <c r="I233" s="16"/>
      <c r="J233" s="18" t="str">
        <f t="shared" si="6"/>
        <v/>
      </c>
      <c r="K233" s="16"/>
      <c r="L233" s="18" t="str">
        <f>IF(A233="","",COUNTIF(Œuvres!$C$2:$C$301,A233))</f>
        <v/>
      </c>
      <c r="M233" s="18" t="str">
        <f t="shared" ca="1" si="7"/>
        <v/>
      </c>
      <c r="N233" s="16"/>
    </row>
    <row r="234" spans="1:14" x14ac:dyDescent="0.25">
      <c r="A234" s="16"/>
      <c r="B234" s="16"/>
      <c r="C234" s="16"/>
      <c r="D234" s="16"/>
      <c r="E234" s="16"/>
      <c r="F234" s="16"/>
      <c r="G234" s="16"/>
      <c r="H234" s="16"/>
      <c r="I234" s="16"/>
      <c r="J234" s="18" t="str">
        <f t="shared" si="6"/>
        <v/>
      </c>
      <c r="K234" s="16"/>
      <c r="L234" s="18" t="str">
        <f>IF(A234="","",COUNTIF(Œuvres!$C$2:$C$301,A234))</f>
        <v/>
      </c>
      <c r="M234" s="18" t="str">
        <f t="shared" ca="1" si="7"/>
        <v/>
      </c>
      <c r="N234" s="16"/>
    </row>
    <row r="235" spans="1:14" x14ac:dyDescent="0.25">
      <c r="A235" s="16"/>
      <c r="B235" s="16"/>
      <c r="C235" s="16"/>
      <c r="D235" s="16"/>
      <c r="E235" s="16"/>
      <c r="F235" s="16"/>
      <c r="G235" s="16"/>
      <c r="H235" s="16"/>
      <c r="I235" s="16"/>
      <c r="J235" s="18" t="str">
        <f t="shared" si="6"/>
        <v/>
      </c>
      <c r="K235" s="16"/>
      <c r="L235" s="18" t="str">
        <f>IF(A235="","",COUNTIF(Œuvres!$C$2:$C$301,A235))</f>
        <v/>
      </c>
      <c r="M235" s="18" t="str">
        <f t="shared" ca="1" si="7"/>
        <v/>
      </c>
      <c r="N235" s="16"/>
    </row>
    <row r="236" spans="1:14" x14ac:dyDescent="0.25">
      <c r="A236" s="16"/>
      <c r="B236" s="16"/>
      <c r="C236" s="16"/>
      <c r="D236" s="16"/>
      <c r="E236" s="16"/>
      <c r="F236" s="16"/>
      <c r="G236" s="16"/>
      <c r="H236" s="16"/>
      <c r="I236" s="16"/>
      <c r="J236" s="18" t="str">
        <f t="shared" si="6"/>
        <v/>
      </c>
      <c r="K236" s="16"/>
      <c r="L236" s="18" t="str">
        <f>IF(A236="","",COUNTIF(Œuvres!$C$2:$C$301,A236))</f>
        <v/>
      </c>
      <c r="M236" s="18" t="str">
        <f t="shared" ca="1" si="7"/>
        <v/>
      </c>
      <c r="N236" s="16"/>
    </row>
    <row r="237" spans="1:14" x14ac:dyDescent="0.25">
      <c r="A237" s="16"/>
      <c r="B237" s="16"/>
      <c r="C237" s="16"/>
      <c r="D237" s="16"/>
      <c r="E237" s="16"/>
      <c r="F237" s="16"/>
      <c r="G237" s="16"/>
      <c r="H237" s="16"/>
      <c r="I237" s="16"/>
      <c r="J237" s="18" t="str">
        <f t="shared" si="6"/>
        <v/>
      </c>
      <c r="K237" s="16"/>
      <c r="L237" s="18" t="str">
        <f>IF(A237="","",COUNTIF(Œuvres!$C$2:$C$301,A237))</f>
        <v/>
      </c>
      <c r="M237" s="18" t="str">
        <f t="shared" ca="1" si="7"/>
        <v/>
      </c>
      <c r="N237" s="16"/>
    </row>
    <row r="238" spans="1:14" x14ac:dyDescent="0.25">
      <c r="A238" s="16"/>
      <c r="B238" s="16"/>
      <c r="C238" s="16"/>
      <c r="D238" s="16"/>
      <c r="E238" s="16"/>
      <c r="F238" s="16"/>
      <c r="G238" s="16"/>
      <c r="H238" s="16"/>
      <c r="I238" s="16"/>
      <c r="J238" s="18" t="str">
        <f t="shared" si="6"/>
        <v/>
      </c>
      <c r="K238" s="16"/>
      <c r="L238" s="18" t="str">
        <f>IF(A238="","",COUNTIF(Œuvres!$C$2:$C$301,A238))</f>
        <v/>
      </c>
      <c r="M238" s="18" t="str">
        <f t="shared" ca="1" si="7"/>
        <v/>
      </c>
      <c r="N238" s="16"/>
    </row>
    <row r="239" spans="1:14" x14ac:dyDescent="0.25">
      <c r="A239" s="16"/>
      <c r="B239" s="16"/>
      <c r="C239" s="16"/>
      <c r="D239" s="16"/>
      <c r="E239" s="16"/>
      <c r="F239" s="16"/>
      <c r="G239" s="16"/>
      <c r="H239" s="16"/>
      <c r="I239" s="16"/>
      <c r="J239" s="18" t="str">
        <f t="shared" si="6"/>
        <v/>
      </c>
      <c r="K239" s="16"/>
      <c r="L239" s="18" t="str">
        <f>IF(A239="","",COUNTIF(Œuvres!$C$2:$C$301,A239))</f>
        <v/>
      </c>
      <c r="M239" s="18" t="str">
        <f t="shared" ca="1" si="7"/>
        <v/>
      </c>
      <c r="N239" s="16"/>
    </row>
    <row r="240" spans="1:14" x14ac:dyDescent="0.25">
      <c r="A240" s="16"/>
      <c r="B240" s="16"/>
      <c r="C240" s="16"/>
      <c r="D240" s="16"/>
      <c r="E240" s="16"/>
      <c r="F240" s="16"/>
      <c r="G240" s="16"/>
      <c r="H240" s="16"/>
      <c r="I240" s="16"/>
      <c r="J240" s="18" t="str">
        <f t="shared" si="6"/>
        <v/>
      </c>
      <c r="K240" s="16"/>
      <c r="L240" s="18" t="str">
        <f>IF(A240="","",COUNTIF(Œuvres!$C$2:$C$301,A240))</f>
        <v/>
      </c>
      <c r="M240" s="18" t="str">
        <f t="shared" ca="1" si="7"/>
        <v/>
      </c>
      <c r="N240" s="16"/>
    </row>
    <row r="241" spans="1:14" x14ac:dyDescent="0.25">
      <c r="A241" s="16"/>
      <c r="B241" s="16"/>
      <c r="C241" s="16"/>
      <c r="D241" s="16"/>
      <c r="E241" s="16"/>
      <c r="F241" s="16"/>
      <c r="G241" s="16"/>
      <c r="H241" s="16"/>
      <c r="I241" s="16"/>
      <c r="J241" s="18" t="str">
        <f t="shared" si="6"/>
        <v/>
      </c>
      <c r="K241" s="16"/>
      <c r="L241" s="18" t="str">
        <f>IF(A241="","",COUNTIF(Œuvres!$C$2:$C$301,A241))</f>
        <v/>
      </c>
      <c r="M241" s="18" t="str">
        <f t="shared" ca="1" si="7"/>
        <v/>
      </c>
      <c r="N241" s="16"/>
    </row>
    <row r="242" spans="1:14" x14ac:dyDescent="0.25">
      <c r="A242" s="16"/>
      <c r="B242" s="16"/>
      <c r="C242" s="16"/>
      <c r="D242" s="16"/>
      <c r="E242" s="16"/>
      <c r="F242" s="16"/>
      <c r="G242" s="16"/>
      <c r="H242" s="16"/>
      <c r="I242" s="16"/>
      <c r="J242" s="18" t="str">
        <f t="shared" si="6"/>
        <v/>
      </c>
      <c r="K242" s="16"/>
      <c r="L242" s="18" t="str">
        <f>IF(A242="","",COUNTIF(Œuvres!$C$2:$C$301,A242))</f>
        <v/>
      </c>
      <c r="M242" s="18" t="str">
        <f t="shared" ca="1" si="7"/>
        <v/>
      </c>
      <c r="N242" s="16"/>
    </row>
    <row r="243" spans="1:14" x14ac:dyDescent="0.25">
      <c r="A243" s="16"/>
      <c r="B243" s="16"/>
      <c r="C243" s="16"/>
      <c r="D243" s="16"/>
      <c r="E243" s="16"/>
      <c r="F243" s="16"/>
      <c r="G243" s="16"/>
      <c r="H243" s="16"/>
      <c r="I243" s="16"/>
      <c r="J243" s="18" t="str">
        <f t="shared" si="6"/>
        <v/>
      </c>
      <c r="K243" s="16"/>
      <c r="L243" s="18" t="str">
        <f>IF(A243="","",COUNTIF(Œuvres!$C$2:$C$301,A243))</f>
        <v/>
      </c>
      <c r="M243" s="18" t="str">
        <f t="shared" ca="1" si="7"/>
        <v/>
      </c>
      <c r="N243" s="16"/>
    </row>
    <row r="244" spans="1:14" x14ac:dyDescent="0.25">
      <c r="A244" s="16"/>
      <c r="B244" s="16"/>
      <c r="C244" s="16"/>
      <c r="D244" s="16"/>
      <c r="E244" s="16"/>
      <c r="F244" s="16"/>
      <c r="G244" s="16"/>
      <c r="H244" s="16"/>
      <c r="I244" s="16"/>
      <c r="J244" s="18" t="str">
        <f t="shared" si="6"/>
        <v/>
      </c>
      <c r="K244" s="16"/>
      <c r="L244" s="18" t="str">
        <f>IF(A244="","",COUNTIF(Œuvres!$C$2:$C$301,A244))</f>
        <v/>
      </c>
      <c r="M244" s="18" t="str">
        <f t="shared" ca="1" si="7"/>
        <v/>
      </c>
      <c r="N244" s="16"/>
    </row>
    <row r="245" spans="1:14" x14ac:dyDescent="0.25">
      <c r="A245" s="16"/>
      <c r="B245" s="16"/>
      <c r="C245" s="16"/>
      <c r="D245" s="16"/>
      <c r="E245" s="16"/>
      <c r="F245" s="16"/>
      <c r="G245" s="16"/>
      <c r="H245" s="16"/>
      <c r="I245" s="16"/>
      <c r="J245" s="18" t="str">
        <f t="shared" si="6"/>
        <v/>
      </c>
      <c r="K245" s="16"/>
      <c r="L245" s="18" t="str">
        <f>IF(A245="","",COUNTIF(Œuvres!$C$2:$C$301,A245))</f>
        <v/>
      </c>
      <c r="M245" s="18" t="str">
        <f t="shared" ca="1" si="7"/>
        <v/>
      </c>
      <c r="N245" s="16"/>
    </row>
    <row r="246" spans="1:14" x14ac:dyDescent="0.25">
      <c r="A246" s="16"/>
      <c r="B246" s="16"/>
      <c r="C246" s="16"/>
      <c r="D246" s="16"/>
      <c r="E246" s="16"/>
      <c r="F246" s="16"/>
      <c r="G246" s="16"/>
      <c r="H246" s="16"/>
      <c r="I246" s="16"/>
      <c r="J246" s="18" t="str">
        <f t="shared" si="6"/>
        <v/>
      </c>
      <c r="K246" s="16"/>
      <c r="L246" s="18" t="str">
        <f>IF(A246="","",COUNTIF(Œuvres!$C$2:$C$301,A246))</f>
        <v/>
      </c>
      <c r="M246" s="18" t="str">
        <f t="shared" ca="1" si="7"/>
        <v/>
      </c>
      <c r="N246" s="16"/>
    </row>
    <row r="247" spans="1:14" x14ac:dyDescent="0.25">
      <c r="A247" s="16"/>
      <c r="B247" s="16"/>
      <c r="C247" s="16"/>
      <c r="D247" s="16"/>
      <c r="E247" s="16"/>
      <c r="F247" s="16"/>
      <c r="G247" s="16"/>
      <c r="H247" s="16"/>
      <c r="I247" s="16"/>
      <c r="J247" s="18" t="str">
        <f t="shared" si="6"/>
        <v/>
      </c>
      <c r="K247" s="16"/>
      <c r="L247" s="18" t="str">
        <f>IF(A247="","",COUNTIF(Œuvres!$C$2:$C$301,A247))</f>
        <v/>
      </c>
      <c r="M247" s="18" t="str">
        <f t="shared" ca="1" si="7"/>
        <v/>
      </c>
      <c r="N247" s="16"/>
    </row>
    <row r="248" spans="1:14" x14ac:dyDescent="0.25">
      <c r="A248" s="16"/>
      <c r="B248" s="16"/>
      <c r="C248" s="16"/>
      <c r="D248" s="16"/>
      <c r="E248" s="16"/>
      <c r="F248" s="16"/>
      <c r="G248" s="16"/>
      <c r="H248" s="16"/>
      <c r="I248" s="16"/>
      <c r="J248" s="18" t="str">
        <f t="shared" si="6"/>
        <v/>
      </c>
      <c r="K248" s="16"/>
      <c r="L248" s="18" t="str">
        <f>IF(A248="","",COUNTIF(Œuvres!$C$2:$C$301,A248))</f>
        <v/>
      </c>
      <c r="M248" s="18" t="str">
        <f t="shared" ca="1" si="7"/>
        <v/>
      </c>
      <c r="N248" s="16"/>
    </row>
    <row r="249" spans="1:14" x14ac:dyDescent="0.25">
      <c r="A249" s="16"/>
      <c r="B249" s="16"/>
      <c r="C249" s="16"/>
      <c r="D249" s="16"/>
      <c r="E249" s="16"/>
      <c r="F249" s="16"/>
      <c r="G249" s="16"/>
      <c r="H249" s="16"/>
      <c r="I249" s="16"/>
      <c r="J249" s="18" t="str">
        <f t="shared" si="6"/>
        <v/>
      </c>
      <c r="K249" s="16"/>
      <c r="L249" s="18" t="str">
        <f>IF(A249="","",COUNTIF(Œuvres!$C$2:$C$301,A249))</f>
        <v/>
      </c>
      <c r="M249" s="18" t="str">
        <f t="shared" ca="1" si="7"/>
        <v/>
      </c>
      <c r="N249" s="16"/>
    </row>
    <row r="250" spans="1:14" x14ac:dyDescent="0.25">
      <c r="A250" s="16"/>
      <c r="B250" s="16"/>
      <c r="C250" s="16"/>
      <c r="D250" s="16"/>
      <c r="E250" s="16"/>
      <c r="F250" s="16"/>
      <c r="G250" s="16"/>
      <c r="H250" s="16"/>
      <c r="I250" s="16"/>
      <c r="J250" s="18" t="str">
        <f t="shared" si="6"/>
        <v/>
      </c>
      <c r="K250" s="16"/>
      <c r="L250" s="18" t="str">
        <f>IF(A250="","",COUNTIF(Œuvres!$C$2:$C$301,A250))</f>
        <v/>
      </c>
      <c r="M250" s="18" t="str">
        <f t="shared" ca="1" si="7"/>
        <v/>
      </c>
      <c r="N250" s="16"/>
    </row>
    <row r="251" spans="1:14" x14ac:dyDescent="0.25">
      <c r="A251" s="16"/>
      <c r="B251" s="16"/>
      <c r="C251" s="16"/>
      <c r="D251" s="16"/>
      <c r="E251" s="16"/>
      <c r="F251" s="16"/>
      <c r="G251" s="16"/>
      <c r="H251" s="16"/>
      <c r="I251" s="16"/>
      <c r="J251" s="18" t="str">
        <f t="shared" si="6"/>
        <v/>
      </c>
      <c r="K251" s="16"/>
      <c r="L251" s="18" t="str">
        <f>IF(A251="","",COUNTIF(Œuvres!$C$2:$C$301,A251))</f>
        <v/>
      </c>
      <c r="M251" s="18" t="str">
        <f t="shared" ca="1" si="7"/>
        <v/>
      </c>
      <c r="N251" s="16"/>
    </row>
    <row r="252" spans="1:14" x14ac:dyDescent="0.25">
      <c r="A252" s="16"/>
      <c r="B252" s="16"/>
      <c r="C252" s="16"/>
      <c r="D252" s="16"/>
      <c r="E252" s="16"/>
      <c r="F252" s="16"/>
      <c r="G252" s="16"/>
      <c r="H252" s="16"/>
      <c r="I252" s="16"/>
      <c r="J252" s="18" t="str">
        <f t="shared" si="6"/>
        <v/>
      </c>
      <c r="K252" s="16"/>
      <c r="L252" s="18" t="str">
        <f>IF(A252="","",COUNTIF(Œuvres!$C$2:$C$301,A252))</f>
        <v/>
      </c>
      <c r="M252" s="18" t="str">
        <f t="shared" ca="1" si="7"/>
        <v/>
      </c>
      <c r="N252" s="16"/>
    </row>
    <row r="253" spans="1:14" x14ac:dyDescent="0.25">
      <c r="A253" s="16"/>
      <c r="B253" s="16"/>
      <c r="C253" s="16"/>
      <c r="D253" s="16"/>
      <c r="E253" s="16"/>
      <c r="F253" s="16"/>
      <c r="G253" s="16"/>
      <c r="H253" s="16"/>
      <c r="I253" s="16"/>
      <c r="J253" s="18" t="str">
        <f t="shared" si="6"/>
        <v/>
      </c>
      <c r="K253" s="16"/>
      <c r="L253" s="18" t="str">
        <f>IF(A253="","",COUNTIF(Œuvres!$C$2:$C$301,A253))</f>
        <v/>
      </c>
      <c r="M253" s="18" t="str">
        <f t="shared" ca="1" si="7"/>
        <v/>
      </c>
      <c r="N253" s="16"/>
    </row>
    <row r="254" spans="1:14" x14ac:dyDescent="0.25">
      <c r="A254" s="16"/>
      <c r="B254" s="16"/>
      <c r="C254" s="16"/>
      <c r="D254" s="16"/>
      <c r="E254" s="16"/>
      <c r="F254" s="16"/>
      <c r="G254" s="16"/>
      <c r="H254" s="16"/>
      <c r="I254" s="16"/>
      <c r="J254" s="18" t="str">
        <f t="shared" si="6"/>
        <v/>
      </c>
      <c r="K254" s="16"/>
      <c r="L254" s="18" t="str">
        <f>IF(A254="","",COUNTIF(Œuvres!$C$2:$C$301,A254))</f>
        <v/>
      </c>
      <c r="M254" s="18" t="str">
        <f t="shared" ca="1" si="7"/>
        <v/>
      </c>
      <c r="N254" s="16"/>
    </row>
    <row r="255" spans="1:14" x14ac:dyDescent="0.25">
      <c r="A255" s="16"/>
      <c r="B255" s="16"/>
      <c r="C255" s="16"/>
      <c r="D255" s="16"/>
      <c r="E255" s="16"/>
      <c r="F255" s="16"/>
      <c r="G255" s="16"/>
      <c r="H255" s="16"/>
      <c r="I255" s="16"/>
      <c r="J255" s="18" t="str">
        <f t="shared" si="6"/>
        <v/>
      </c>
      <c r="K255" s="16"/>
      <c r="L255" s="18" t="str">
        <f>IF(A255="","",COUNTIF(Œuvres!$C$2:$C$301,A255))</f>
        <v/>
      </c>
      <c r="M255" s="18" t="str">
        <f t="shared" ca="1" si="7"/>
        <v/>
      </c>
      <c r="N255" s="16"/>
    </row>
    <row r="256" spans="1:14" x14ac:dyDescent="0.25">
      <c r="A256" s="16"/>
      <c r="B256" s="16"/>
      <c r="C256" s="16"/>
      <c r="D256" s="16"/>
      <c r="E256" s="16"/>
      <c r="F256" s="16"/>
      <c r="G256" s="16"/>
      <c r="H256" s="16"/>
      <c r="I256" s="16"/>
      <c r="J256" s="18" t="str">
        <f t="shared" si="6"/>
        <v/>
      </c>
      <c r="K256" s="16"/>
      <c r="L256" s="18" t="str">
        <f>IF(A256="","",COUNTIF(Œuvres!$C$2:$C$301,A256))</f>
        <v/>
      </c>
      <c r="M256" s="18" t="str">
        <f t="shared" ca="1" si="7"/>
        <v/>
      </c>
      <c r="N256" s="16"/>
    </row>
    <row r="257" spans="1:14" x14ac:dyDescent="0.25">
      <c r="A257" s="16"/>
      <c r="B257" s="16"/>
      <c r="C257" s="16"/>
      <c r="D257" s="16"/>
      <c r="E257" s="16"/>
      <c r="F257" s="16"/>
      <c r="G257" s="16"/>
      <c r="H257" s="16"/>
      <c r="I257" s="16"/>
      <c r="J257" s="18" t="str">
        <f t="shared" si="6"/>
        <v/>
      </c>
      <c r="K257" s="16"/>
      <c r="L257" s="18" t="str">
        <f>IF(A257="","",COUNTIF(Œuvres!$C$2:$C$301,A257))</f>
        <v/>
      </c>
      <c r="M257" s="18" t="str">
        <f t="shared" ca="1" si="7"/>
        <v/>
      </c>
      <c r="N257" s="16"/>
    </row>
    <row r="258" spans="1:14" x14ac:dyDescent="0.25">
      <c r="A258" s="16"/>
      <c r="B258" s="16"/>
      <c r="C258" s="16"/>
      <c r="D258" s="16"/>
      <c r="E258" s="16"/>
      <c r="F258" s="16"/>
      <c r="G258" s="16"/>
      <c r="H258" s="16"/>
      <c r="I258" s="16"/>
      <c r="J258" s="18" t="str">
        <f t="shared" ref="J258:J301" si="8">IF(A258="","","artistes/"&amp;A258&amp;".md")</f>
        <v/>
      </c>
      <c r="K258" s="16"/>
      <c r="L258" s="18" t="str">
        <f>IF(A258="","",COUNTIF(Œuvres!$C$2:$C$301,A258))</f>
        <v/>
      </c>
      <c r="M258" s="18" t="str">
        <f t="shared" ref="M258:M301" ca="1" si="9">IF(D258="","",IF(YEAR(TODAY())&gt;=D258+71,"Oui (à vérifier)","Non"))</f>
        <v/>
      </c>
      <c r="N258" s="16"/>
    </row>
    <row r="259" spans="1:14" x14ac:dyDescent="0.25">
      <c r="A259" s="16"/>
      <c r="B259" s="16"/>
      <c r="C259" s="16"/>
      <c r="D259" s="16"/>
      <c r="E259" s="16"/>
      <c r="F259" s="16"/>
      <c r="G259" s="16"/>
      <c r="H259" s="16"/>
      <c r="I259" s="16"/>
      <c r="J259" s="18" t="str">
        <f t="shared" si="8"/>
        <v/>
      </c>
      <c r="K259" s="16"/>
      <c r="L259" s="18" t="str">
        <f>IF(A259="","",COUNTIF(Œuvres!$C$2:$C$301,A259))</f>
        <v/>
      </c>
      <c r="M259" s="18" t="str">
        <f t="shared" ca="1" si="9"/>
        <v/>
      </c>
      <c r="N259" s="16"/>
    </row>
    <row r="260" spans="1:14" x14ac:dyDescent="0.25">
      <c r="A260" s="16"/>
      <c r="B260" s="16"/>
      <c r="C260" s="16"/>
      <c r="D260" s="16"/>
      <c r="E260" s="16"/>
      <c r="F260" s="16"/>
      <c r="G260" s="16"/>
      <c r="H260" s="16"/>
      <c r="I260" s="16"/>
      <c r="J260" s="18" t="str">
        <f t="shared" si="8"/>
        <v/>
      </c>
      <c r="K260" s="16"/>
      <c r="L260" s="18" t="str">
        <f>IF(A260="","",COUNTIF(Œuvres!$C$2:$C$301,A260))</f>
        <v/>
      </c>
      <c r="M260" s="18" t="str">
        <f t="shared" ca="1" si="9"/>
        <v/>
      </c>
      <c r="N260" s="16"/>
    </row>
    <row r="261" spans="1:14" x14ac:dyDescent="0.25">
      <c r="A261" s="16"/>
      <c r="B261" s="16"/>
      <c r="C261" s="16"/>
      <c r="D261" s="16"/>
      <c r="E261" s="16"/>
      <c r="F261" s="16"/>
      <c r="G261" s="16"/>
      <c r="H261" s="16"/>
      <c r="I261" s="16"/>
      <c r="J261" s="18" t="str">
        <f t="shared" si="8"/>
        <v/>
      </c>
      <c r="K261" s="16"/>
      <c r="L261" s="18" t="str">
        <f>IF(A261="","",COUNTIF(Œuvres!$C$2:$C$301,A261))</f>
        <v/>
      </c>
      <c r="M261" s="18" t="str">
        <f t="shared" ca="1" si="9"/>
        <v/>
      </c>
      <c r="N261" s="16"/>
    </row>
    <row r="262" spans="1:14" x14ac:dyDescent="0.25">
      <c r="A262" s="16"/>
      <c r="B262" s="16"/>
      <c r="C262" s="16"/>
      <c r="D262" s="16"/>
      <c r="E262" s="16"/>
      <c r="F262" s="16"/>
      <c r="G262" s="16"/>
      <c r="H262" s="16"/>
      <c r="I262" s="16"/>
      <c r="J262" s="18" t="str">
        <f t="shared" si="8"/>
        <v/>
      </c>
      <c r="K262" s="16"/>
      <c r="L262" s="18" t="str">
        <f>IF(A262="","",COUNTIF(Œuvres!$C$2:$C$301,A262))</f>
        <v/>
      </c>
      <c r="M262" s="18" t="str">
        <f t="shared" ca="1" si="9"/>
        <v/>
      </c>
      <c r="N262" s="16"/>
    </row>
    <row r="263" spans="1:14" x14ac:dyDescent="0.25">
      <c r="A263" s="16"/>
      <c r="B263" s="16"/>
      <c r="C263" s="16"/>
      <c r="D263" s="16"/>
      <c r="E263" s="16"/>
      <c r="F263" s="16"/>
      <c r="G263" s="16"/>
      <c r="H263" s="16"/>
      <c r="I263" s="16"/>
      <c r="J263" s="18" t="str">
        <f t="shared" si="8"/>
        <v/>
      </c>
      <c r="K263" s="16"/>
      <c r="L263" s="18" t="str">
        <f>IF(A263="","",COUNTIF(Œuvres!$C$2:$C$301,A263))</f>
        <v/>
      </c>
      <c r="M263" s="18" t="str">
        <f t="shared" ca="1" si="9"/>
        <v/>
      </c>
      <c r="N263" s="16"/>
    </row>
    <row r="264" spans="1:14" x14ac:dyDescent="0.25">
      <c r="A264" s="16"/>
      <c r="B264" s="16"/>
      <c r="C264" s="16"/>
      <c r="D264" s="16"/>
      <c r="E264" s="16"/>
      <c r="F264" s="16"/>
      <c r="G264" s="16"/>
      <c r="H264" s="16"/>
      <c r="I264" s="16"/>
      <c r="J264" s="18" t="str">
        <f t="shared" si="8"/>
        <v/>
      </c>
      <c r="K264" s="16"/>
      <c r="L264" s="18" t="str">
        <f>IF(A264="","",COUNTIF(Œuvres!$C$2:$C$301,A264))</f>
        <v/>
      </c>
      <c r="M264" s="18" t="str">
        <f t="shared" ca="1" si="9"/>
        <v/>
      </c>
      <c r="N264" s="16"/>
    </row>
    <row r="265" spans="1:14" x14ac:dyDescent="0.25">
      <c r="A265" s="16"/>
      <c r="B265" s="16"/>
      <c r="C265" s="16"/>
      <c r="D265" s="16"/>
      <c r="E265" s="16"/>
      <c r="F265" s="16"/>
      <c r="G265" s="16"/>
      <c r="H265" s="16"/>
      <c r="I265" s="16"/>
      <c r="J265" s="18" t="str">
        <f t="shared" si="8"/>
        <v/>
      </c>
      <c r="K265" s="16"/>
      <c r="L265" s="18" t="str">
        <f>IF(A265="","",COUNTIF(Œuvres!$C$2:$C$301,A265))</f>
        <v/>
      </c>
      <c r="M265" s="18" t="str">
        <f t="shared" ca="1" si="9"/>
        <v/>
      </c>
      <c r="N265" s="16"/>
    </row>
    <row r="266" spans="1:14" x14ac:dyDescent="0.25">
      <c r="A266" s="16"/>
      <c r="B266" s="16"/>
      <c r="C266" s="16"/>
      <c r="D266" s="16"/>
      <c r="E266" s="16"/>
      <c r="F266" s="16"/>
      <c r="G266" s="16"/>
      <c r="H266" s="16"/>
      <c r="I266" s="16"/>
      <c r="J266" s="18" t="str">
        <f t="shared" si="8"/>
        <v/>
      </c>
      <c r="K266" s="16"/>
      <c r="L266" s="18" t="str">
        <f>IF(A266="","",COUNTIF(Œuvres!$C$2:$C$301,A266))</f>
        <v/>
      </c>
      <c r="M266" s="18" t="str">
        <f t="shared" ca="1" si="9"/>
        <v/>
      </c>
      <c r="N266" s="16"/>
    </row>
    <row r="267" spans="1:14" x14ac:dyDescent="0.25">
      <c r="A267" s="16"/>
      <c r="B267" s="16"/>
      <c r="C267" s="16"/>
      <c r="D267" s="16"/>
      <c r="E267" s="16"/>
      <c r="F267" s="16"/>
      <c r="G267" s="16"/>
      <c r="H267" s="16"/>
      <c r="I267" s="16"/>
      <c r="J267" s="18" t="str">
        <f t="shared" si="8"/>
        <v/>
      </c>
      <c r="K267" s="16"/>
      <c r="L267" s="18" t="str">
        <f>IF(A267="","",COUNTIF(Œuvres!$C$2:$C$301,A267))</f>
        <v/>
      </c>
      <c r="M267" s="18" t="str">
        <f t="shared" ca="1" si="9"/>
        <v/>
      </c>
      <c r="N267" s="16"/>
    </row>
    <row r="268" spans="1:14" x14ac:dyDescent="0.25">
      <c r="A268" s="16"/>
      <c r="B268" s="16"/>
      <c r="C268" s="16"/>
      <c r="D268" s="16"/>
      <c r="E268" s="16"/>
      <c r="F268" s="16"/>
      <c r="G268" s="16"/>
      <c r="H268" s="16"/>
      <c r="I268" s="16"/>
      <c r="J268" s="18" t="str">
        <f t="shared" si="8"/>
        <v/>
      </c>
      <c r="K268" s="16"/>
      <c r="L268" s="18" t="str">
        <f>IF(A268="","",COUNTIF(Œuvres!$C$2:$C$301,A268))</f>
        <v/>
      </c>
      <c r="M268" s="18" t="str">
        <f t="shared" ca="1" si="9"/>
        <v/>
      </c>
      <c r="N268" s="16"/>
    </row>
    <row r="269" spans="1:14" x14ac:dyDescent="0.25">
      <c r="A269" s="16"/>
      <c r="B269" s="16"/>
      <c r="C269" s="16"/>
      <c r="D269" s="16"/>
      <c r="E269" s="16"/>
      <c r="F269" s="16"/>
      <c r="G269" s="16"/>
      <c r="H269" s="16"/>
      <c r="I269" s="16"/>
      <c r="J269" s="18" t="str">
        <f t="shared" si="8"/>
        <v/>
      </c>
      <c r="K269" s="16"/>
      <c r="L269" s="18" t="str">
        <f>IF(A269="","",COUNTIF(Œuvres!$C$2:$C$301,A269))</f>
        <v/>
      </c>
      <c r="M269" s="18" t="str">
        <f t="shared" ca="1" si="9"/>
        <v/>
      </c>
      <c r="N269" s="16"/>
    </row>
    <row r="270" spans="1:14" x14ac:dyDescent="0.25">
      <c r="A270" s="16"/>
      <c r="B270" s="16"/>
      <c r="C270" s="16"/>
      <c r="D270" s="16"/>
      <c r="E270" s="16"/>
      <c r="F270" s="16"/>
      <c r="G270" s="16"/>
      <c r="H270" s="16"/>
      <c r="I270" s="16"/>
      <c r="J270" s="18" t="str">
        <f t="shared" si="8"/>
        <v/>
      </c>
      <c r="K270" s="16"/>
      <c r="L270" s="18" t="str">
        <f>IF(A270="","",COUNTIF(Œuvres!$C$2:$C$301,A270))</f>
        <v/>
      </c>
      <c r="M270" s="18" t="str">
        <f t="shared" ca="1" si="9"/>
        <v/>
      </c>
      <c r="N270" s="16"/>
    </row>
    <row r="271" spans="1:14" x14ac:dyDescent="0.25">
      <c r="A271" s="16"/>
      <c r="B271" s="16"/>
      <c r="C271" s="16"/>
      <c r="D271" s="16"/>
      <c r="E271" s="16"/>
      <c r="F271" s="16"/>
      <c r="G271" s="16"/>
      <c r="H271" s="16"/>
      <c r="I271" s="16"/>
      <c r="J271" s="18" t="str">
        <f t="shared" si="8"/>
        <v/>
      </c>
      <c r="K271" s="16"/>
      <c r="L271" s="18" t="str">
        <f>IF(A271="","",COUNTIF(Œuvres!$C$2:$C$301,A271))</f>
        <v/>
      </c>
      <c r="M271" s="18" t="str">
        <f t="shared" ca="1" si="9"/>
        <v/>
      </c>
      <c r="N271" s="16"/>
    </row>
    <row r="272" spans="1:14" x14ac:dyDescent="0.25">
      <c r="A272" s="16"/>
      <c r="B272" s="16"/>
      <c r="C272" s="16"/>
      <c r="D272" s="16"/>
      <c r="E272" s="16"/>
      <c r="F272" s="16"/>
      <c r="G272" s="16"/>
      <c r="H272" s="16"/>
      <c r="I272" s="16"/>
      <c r="J272" s="18" t="str">
        <f t="shared" si="8"/>
        <v/>
      </c>
      <c r="K272" s="16"/>
      <c r="L272" s="18" t="str">
        <f>IF(A272="","",COUNTIF(Œuvres!$C$2:$C$301,A272))</f>
        <v/>
      </c>
      <c r="M272" s="18" t="str">
        <f t="shared" ca="1" si="9"/>
        <v/>
      </c>
      <c r="N272" s="16"/>
    </row>
    <row r="273" spans="1:14" x14ac:dyDescent="0.25">
      <c r="A273" s="16"/>
      <c r="B273" s="16"/>
      <c r="C273" s="16"/>
      <c r="D273" s="16"/>
      <c r="E273" s="16"/>
      <c r="F273" s="16"/>
      <c r="G273" s="16"/>
      <c r="H273" s="16"/>
      <c r="I273" s="16"/>
      <c r="J273" s="18" t="str">
        <f t="shared" si="8"/>
        <v/>
      </c>
      <c r="K273" s="16"/>
      <c r="L273" s="18" t="str">
        <f>IF(A273="","",COUNTIF(Œuvres!$C$2:$C$301,A273))</f>
        <v/>
      </c>
      <c r="M273" s="18" t="str">
        <f t="shared" ca="1" si="9"/>
        <v/>
      </c>
      <c r="N273" s="16"/>
    </row>
    <row r="274" spans="1:14" x14ac:dyDescent="0.25">
      <c r="A274" s="16"/>
      <c r="B274" s="16"/>
      <c r="C274" s="16"/>
      <c r="D274" s="16"/>
      <c r="E274" s="16"/>
      <c r="F274" s="16"/>
      <c r="G274" s="16"/>
      <c r="H274" s="16"/>
      <c r="I274" s="16"/>
      <c r="J274" s="18" t="str">
        <f t="shared" si="8"/>
        <v/>
      </c>
      <c r="K274" s="16"/>
      <c r="L274" s="18" t="str">
        <f>IF(A274="","",COUNTIF(Œuvres!$C$2:$C$301,A274))</f>
        <v/>
      </c>
      <c r="M274" s="18" t="str">
        <f t="shared" ca="1" si="9"/>
        <v/>
      </c>
      <c r="N274" s="16"/>
    </row>
    <row r="275" spans="1:14" x14ac:dyDescent="0.25">
      <c r="A275" s="16"/>
      <c r="B275" s="16"/>
      <c r="C275" s="16"/>
      <c r="D275" s="16"/>
      <c r="E275" s="16"/>
      <c r="F275" s="16"/>
      <c r="G275" s="16"/>
      <c r="H275" s="16"/>
      <c r="I275" s="16"/>
      <c r="J275" s="18" t="str">
        <f t="shared" si="8"/>
        <v/>
      </c>
      <c r="K275" s="16"/>
      <c r="L275" s="18" t="str">
        <f>IF(A275="","",COUNTIF(Œuvres!$C$2:$C$301,A275))</f>
        <v/>
      </c>
      <c r="M275" s="18" t="str">
        <f t="shared" ca="1" si="9"/>
        <v/>
      </c>
      <c r="N275" s="16"/>
    </row>
    <row r="276" spans="1:14" x14ac:dyDescent="0.25">
      <c r="A276" s="16"/>
      <c r="B276" s="16"/>
      <c r="C276" s="16"/>
      <c r="D276" s="16"/>
      <c r="E276" s="16"/>
      <c r="F276" s="16"/>
      <c r="G276" s="16"/>
      <c r="H276" s="16"/>
      <c r="I276" s="16"/>
      <c r="J276" s="18" t="str">
        <f t="shared" si="8"/>
        <v/>
      </c>
      <c r="K276" s="16"/>
      <c r="L276" s="18" t="str">
        <f>IF(A276="","",COUNTIF(Œuvres!$C$2:$C$301,A276))</f>
        <v/>
      </c>
      <c r="M276" s="18" t="str">
        <f t="shared" ca="1" si="9"/>
        <v/>
      </c>
      <c r="N276" s="16"/>
    </row>
    <row r="277" spans="1:14" x14ac:dyDescent="0.25">
      <c r="A277" s="16"/>
      <c r="B277" s="16"/>
      <c r="C277" s="16"/>
      <c r="D277" s="16"/>
      <c r="E277" s="16"/>
      <c r="F277" s="16"/>
      <c r="G277" s="16"/>
      <c r="H277" s="16"/>
      <c r="I277" s="16"/>
      <c r="J277" s="18" t="str">
        <f t="shared" si="8"/>
        <v/>
      </c>
      <c r="K277" s="16"/>
      <c r="L277" s="18" t="str">
        <f>IF(A277="","",COUNTIF(Œuvres!$C$2:$C$301,A277))</f>
        <v/>
      </c>
      <c r="M277" s="18" t="str">
        <f t="shared" ca="1" si="9"/>
        <v/>
      </c>
      <c r="N277" s="16"/>
    </row>
    <row r="278" spans="1:14" x14ac:dyDescent="0.25">
      <c r="A278" s="16"/>
      <c r="B278" s="16"/>
      <c r="C278" s="16"/>
      <c r="D278" s="16"/>
      <c r="E278" s="16"/>
      <c r="F278" s="16"/>
      <c r="G278" s="16"/>
      <c r="H278" s="16"/>
      <c r="I278" s="16"/>
      <c r="J278" s="18" t="str">
        <f t="shared" si="8"/>
        <v/>
      </c>
      <c r="K278" s="16"/>
      <c r="L278" s="18" t="str">
        <f>IF(A278="","",COUNTIF(Œuvres!$C$2:$C$301,A278))</f>
        <v/>
      </c>
      <c r="M278" s="18" t="str">
        <f t="shared" ca="1" si="9"/>
        <v/>
      </c>
      <c r="N278" s="16"/>
    </row>
    <row r="279" spans="1:14" x14ac:dyDescent="0.25">
      <c r="A279" s="16"/>
      <c r="B279" s="16"/>
      <c r="C279" s="16"/>
      <c r="D279" s="16"/>
      <c r="E279" s="16"/>
      <c r="F279" s="16"/>
      <c r="G279" s="16"/>
      <c r="H279" s="16"/>
      <c r="I279" s="16"/>
      <c r="J279" s="18" t="str">
        <f t="shared" si="8"/>
        <v/>
      </c>
      <c r="K279" s="16"/>
      <c r="L279" s="18" t="str">
        <f>IF(A279="","",COUNTIF(Œuvres!$C$2:$C$301,A279))</f>
        <v/>
      </c>
      <c r="M279" s="18" t="str">
        <f t="shared" ca="1" si="9"/>
        <v/>
      </c>
      <c r="N279" s="16"/>
    </row>
    <row r="280" spans="1:14" x14ac:dyDescent="0.25">
      <c r="A280" s="16"/>
      <c r="B280" s="16"/>
      <c r="C280" s="16"/>
      <c r="D280" s="16"/>
      <c r="E280" s="16"/>
      <c r="F280" s="16"/>
      <c r="G280" s="16"/>
      <c r="H280" s="16"/>
      <c r="I280" s="16"/>
      <c r="J280" s="18" t="str">
        <f t="shared" si="8"/>
        <v/>
      </c>
      <c r="K280" s="16"/>
      <c r="L280" s="18" t="str">
        <f>IF(A280="","",COUNTIF(Œuvres!$C$2:$C$301,A280))</f>
        <v/>
      </c>
      <c r="M280" s="18" t="str">
        <f t="shared" ca="1" si="9"/>
        <v/>
      </c>
      <c r="N280" s="16"/>
    </row>
    <row r="281" spans="1:14" x14ac:dyDescent="0.25">
      <c r="A281" s="16"/>
      <c r="B281" s="16"/>
      <c r="C281" s="16"/>
      <c r="D281" s="16"/>
      <c r="E281" s="16"/>
      <c r="F281" s="16"/>
      <c r="G281" s="16"/>
      <c r="H281" s="16"/>
      <c r="I281" s="16"/>
      <c r="J281" s="18" t="str">
        <f t="shared" si="8"/>
        <v/>
      </c>
      <c r="K281" s="16"/>
      <c r="L281" s="18" t="str">
        <f>IF(A281="","",COUNTIF(Œuvres!$C$2:$C$301,A281))</f>
        <v/>
      </c>
      <c r="M281" s="18" t="str">
        <f t="shared" ca="1" si="9"/>
        <v/>
      </c>
      <c r="N281" s="16"/>
    </row>
    <row r="282" spans="1:14" x14ac:dyDescent="0.25">
      <c r="A282" s="16"/>
      <c r="B282" s="16"/>
      <c r="C282" s="16"/>
      <c r="D282" s="16"/>
      <c r="E282" s="16"/>
      <c r="F282" s="16"/>
      <c r="G282" s="16"/>
      <c r="H282" s="16"/>
      <c r="I282" s="16"/>
      <c r="J282" s="18" t="str">
        <f t="shared" si="8"/>
        <v/>
      </c>
      <c r="K282" s="16"/>
      <c r="L282" s="18" t="str">
        <f>IF(A282="","",COUNTIF(Œuvres!$C$2:$C$301,A282))</f>
        <v/>
      </c>
      <c r="M282" s="18" t="str">
        <f t="shared" ca="1" si="9"/>
        <v/>
      </c>
      <c r="N282" s="16"/>
    </row>
    <row r="283" spans="1:14" x14ac:dyDescent="0.25">
      <c r="A283" s="16"/>
      <c r="B283" s="16"/>
      <c r="C283" s="16"/>
      <c r="D283" s="16"/>
      <c r="E283" s="16"/>
      <c r="F283" s="16"/>
      <c r="G283" s="16"/>
      <c r="H283" s="16"/>
      <c r="I283" s="16"/>
      <c r="J283" s="18" t="str">
        <f t="shared" si="8"/>
        <v/>
      </c>
      <c r="K283" s="16"/>
      <c r="L283" s="18" t="str">
        <f>IF(A283="","",COUNTIF(Œuvres!$C$2:$C$301,A283))</f>
        <v/>
      </c>
      <c r="M283" s="18" t="str">
        <f t="shared" ca="1" si="9"/>
        <v/>
      </c>
      <c r="N283" s="16"/>
    </row>
    <row r="284" spans="1:14" x14ac:dyDescent="0.25">
      <c r="A284" s="16"/>
      <c r="B284" s="16"/>
      <c r="C284" s="16"/>
      <c r="D284" s="16"/>
      <c r="E284" s="16"/>
      <c r="F284" s="16"/>
      <c r="G284" s="16"/>
      <c r="H284" s="16"/>
      <c r="I284" s="16"/>
      <c r="J284" s="18" t="str">
        <f t="shared" si="8"/>
        <v/>
      </c>
      <c r="K284" s="16"/>
      <c r="L284" s="18" t="str">
        <f>IF(A284="","",COUNTIF(Œuvres!$C$2:$C$301,A284))</f>
        <v/>
      </c>
      <c r="M284" s="18" t="str">
        <f t="shared" ca="1" si="9"/>
        <v/>
      </c>
      <c r="N284" s="16"/>
    </row>
    <row r="285" spans="1:14" x14ac:dyDescent="0.25">
      <c r="A285" s="16"/>
      <c r="B285" s="16"/>
      <c r="C285" s="16"/>
      <c r="D285" s="16"/>
      <c r="E285" s="16"/>
      <c r="F285" s="16"/>
      <c r="G285" s="16"/>
      <c r="H285" s="16"/>
      <c r="I285" s="16"/>
      <c r="J285" s="18" t="str">
        <f t="shared" si="8"/>
        <v/>
      </c>
      <c r="K285" s="16"/>
      <c r="L285" s="18" t="str">
        <f>IF(A285="","",COUNTIF(Œuvres!$C$2:$C$301,A285))</f>
        <v/>
      </c>
      <c r="M285" s="18" t="str">
        <f t="shared" ca="1" si="9"/>
        <v/>
      </c>
      <c r="N285" s="16"/>
    </row>
    <row r="286" spans="1:14" x14ac:dyDescent="0.25">
      <c r="A286" s="16"/>
      <c r="B286" s="16"/>
      <c r="C286" s="16"/>
      <c r="D286" s="16"/>
      <c r="E286" s="16"/>
      <c r="F286" s="16"/>
      <c r="G286" s="16"/>
      <c r="H286" s="16"/>
      <c r="I286" s="16"/>
      <c r="J286" s="18" t="str">
        <f t="shared" si="8"/>
        <v/>
      </c>
      <c r="K286" s="16"/>
      <c r="L286" s="18" t="str">
        <f>IF(A286="","",COUNTIF(Œuvres!$C$2:$C$301,A286))</f>
        <v/>
      </c>
      <c r="M286" s="18" t="str">
        <f t="shared" ca="1" si="9"/>
        <v/>
      </c>
      <c r="N286" s="16"/>
    </row>
    <row r="287" spans="1:14" x14ac:dyDescent="0.25">
      <c r="A287" s="16"/>
      <c r="B287" s="16"/>
      <c r="C287" s="16"/>
      <c r="D287" s="16"/>
      <c r="E287" s="16"/>
      <c r="F287" s="16"/>
      <c r="G287" s="16"/>
      <c r="H287" s="16"/>
      <c r="I287" s="16"/>
      <c r="J287" s="18" t="str">
        <f t="shared" si="8"/>
        <v/>
      </c>
      <c r="K287" s="16"/>
      <c r="L287" s="18" t="str">
        <f>IF(A287="","",COUNTIF(Œuvres!$C$2:$C$301,A287))</f>
        <v/>
      </c>
      <c r="M287" s="18" t="str">
        <f t="shared" ca="1" si="9"/>
        <v/>
      </c>
      <c r="N287" s="16"/>
    </row>
    <row r="288" spans="1:14" x14ac:dyDescent="0.25">
      <c r="A288" s="16"/>
      <c r="B288" s="16"/>
      <c r="C288" s="16"/>
      <c r="D288" s="16"/>
      <c r="E288" s="16"/>
      <c r="F288" s="16"/>
      <c r="G288" s="16"/>
      <c r="H288" s="16"/>
      <c r="I288" s="16"/>
      <c r="J288" s="18" t="str">
        <f t="shared" si="8"/>
        <v/>
      </c>
      <c r="K288" s="16"/>
      <c r="L288" s="18" t="str">
        <f>IF(A288="","",COUNTIF(Œuvres!$C$2:$C$301,A288))</f>
        <v/>
      </c>
      <c r="M288" s="18" t="str">
        <f t="shared" ca="1" si="9"/>
        <v/>
      </c>
      <c r="N288" s="16"/>
    </row>
    <row r="289" spans="1:14" x14ac:dyDescent="0.25">
      <c r="A289" s="16"/>
      <c r="B289" s="16"/>
      <c r="C289" s="16"/>
      <c r="D289" s="16"/>
      <c r="E289" s="16"/>
      <c r="F289" s="16"/>
      <c r="G289" s="16"/>
      <c r="H289" s="16"/>
      <c r="I289" s="16"/>
      <c r="J289" s="18" t="str">
        <f t="shared" si="8"/>
        <v/>
      </c>
      <c r="K289" s="16"/>
      <c r="L289" s="18" t="str">
        <f>IF(A289="","",COUNTIF(Œuvres!$C$2:$C$301,A289))</f>
        <v/>
      </c>
      <c r="M289" s="18" t="str">
        <f t="shared" ca="1" si="9"/>
        <v/>
      </c>
      <c r="N289" s="16"/>
    </row>
    <row r="290" spans="1:14" x14ac:dyDescent="0.25">
      <c r="A290" s="16"/>
      <c r="B290" s="16"/>
      <c r="C290" s="16"/>
      <c r="D290" s="16"/>
      <c r="E290" s="16"/>
      <c r="F290" s="16"/>
      <c r="G290" s="16"/>
      <c r="H290" s="16"/>
      <c r="I290" s="16"/>
      <c r="J290" s="18" t="str">
        <f t="shared" si="8"/>
        <v/>
      </c>
      <c r="K290" s="16"/>
      <c r="L290" s="18" t="str">
        <f>IF(A290="","",COUNTIF(Œuvres!$C$2:$C$301,A290))</f>
        <v/>
      </c>
      <c r="M290" s="18" t="str">
        <f t="shared" ca="1" si="9"/>
        <v/>
      </c>
      <c r="N290" s="16"/>
    </row>
    <row r="291" spans="1:14" x14ac:dyDescent="0.25">
      <c r="A291" s="16"/>
      <c r="B291" s="16"/>
      <c r="C291" s="16"/>
      <c r="D291" s="16"/>
      <c r="E291" s="16"/>
      <c r="F291" s="16"/>
      <c r="G291" s="16"/>
      <c r="H291" s="16"/>
      <c r="I291" s="16"/>
      <c r="J291" s="18" t="str">
        <f t="shared" si="8"/>
        <v/>
      </c>
      <c r="K291" s="16"/>
      <c r="L291" s="18" t="str">
        <f>IF(A291="","",COUNTIF(Œuvres!$C$2:$C$301,A291))</f>
        <v/>
      </c>
      <c r="M291" s="18" t="str">
        <f t="shared" ca="1" si="9"/>
        <v/>
      </c>
      <c r="N291" s="16"/>
    </row>
    <row r="292" spans="1:14" x14ac:dyDescent="0.25">
      <c r="A292" s="16"/>
      <c r="B292" s="16"/>
      <c r="C292" s="16"/>
      <c r="D292" s="16"/>
      <c r="E292" s="16"/>
      <c r="F292" s="16"/>
      <c r="G292" s="16"/>
      <c r="H292" s="16"/>
      <c r="I292" s="16"/>
      <c r="J292" s="18" t="str">
        <f t="shared" si="8"/>
        <v/>
      </c>
      <c r="K292" s="16"/>
      <c r="L292" s="18" t="str">
        <f>IF(A292="","",COUNTIF(Œuvres!$C$2:$C$301,A292))</f>
        <v/>
      </c>
      <c r="M292" s="18" t="str">
        <f t="shared" ca="1" si="9"/>
        <v/>
      </c>
      <c r="N292" s="16"/>
    </row>
    <row r="293" spans="1:14" x14ac:dyDescent="0.25">
      <c r="A293" s="16"/>
      <c r="B293" s="16"/>
      <c r="C293" s="16"/>
      <c r="D293" s="16"/>
      <c r="E293" s="16"/>
      <c r="F293" s="16"/>
      <c r="G293" s="16"/>
      <c r="H293" s="16"/>
      <c r="I293" s="16"/>
      <c r="J293" s="18" t="str">
        <f t="shared" si="8"/>
        <v/>
      </c>
      <c r="K293" s="16"/>
      <c r="L293" s="18" t="str">
        <f>IF(A293="","",COUNTIF(Œuvres!$C$2:$C$301,A293))</f>
        <v/>
      </c>
      <c r="M293" s="18" t="str">
        <f t="shared" ca="1" si="9"/>
        <v/>
      </c>
      <c r="N293" s="16"/>
    </row>
    <row r="294" spans="1:14" x14ac:dyDescent="0.25">
      <c r="A294" s="16"/>
      <c r="B294" s="16"/>
      <c r="C294" s="16"/>
      <c r="D294" s="16"/>
      <c r="E294" s="16"/>
      <c r="F294" s="16"/>
      <c r="G294" s="16"/>
      <c r="H294" s="16"/>
      <c r="I294" s="16"/>
      <c r="J294" s="18" t="str">
        <f t="shared" si="8"/>
        <v/>
      </c>
      <c r="K294" s="16"/>
      <c r="L294" s="18" t="str">
        <f>IF(A294="","",COUNTIF(Œuvres!$C$2:$C$301,A294))</f>
        <v/>
      </c>
      <c r="M294" s="18" t="str">
        <f t="shared" ca="1" si="9"/>
        <v/>
      </c>
      <c r="N294" s="16"/>
    </row>
    <row r="295" spans="1:14" x14ac:dyDescent="0.25">
      <c r="A295" s="16"/>
      <c r="B295" s="16"/>
      <c r="C295" s="16"/>
      <c r="D295" s="16"/>
      <c r="E295" s="16"/>
      <c r="F295" s="16"/>
      <c r="G295" s="16"/>
      <c r="H295" s="16"/>
      <c r="I295" s="16"/>
      <c r="J295" s="18" t="str">
        <f t="shared" si="8"/>
        <v/>
      </c>
      <c r="K295" s="16"/>
      <c r="L295" s="18" t="str">
        <f>IF(A295="","",COUNTIF(Œuvres!$C$2:$C$301,A295))</f>
        <v/>
      </c>
      <c r="M295" s="18" t="str">
        <f t="shared" ca="1" si="9"/>
        <v/>
      </c>
      <c r="N295" s="16"/>
    </row>
    <row r="296" spans="1:14" x14ac:dyDescent="0.25">
      <c r="A296" s="16"/>
      <c r="B296" s="16"/>
      <c r="C296" s="16"/>
      <c r="D296" s="16"/>
      <c r="E296" s="16"/>
      <c r="F296" s="16"/>
      <c r="G296" s="16"/>
      <c r="H296" s="16"/>
      <c r="I296" s="16"/>
      <c r="J296" s="18" t="str">
        <f t="shared" si="8"/>
        <v/>
      </c>
      <c r="K296" s="16"/>
      <c r="L296" s="18" t="str">
        <f>IF(A296="","",COUNTIF(Œuvres!$C$2:$C$301,A296))</f>
        <v/>
      </c>
      <c r="M296" s="18" t="str">
        <f t="shared" ca="1" si="9"/>
        <v/>
      </c>
      <c r="N296" s="16"/>
    </row>
    <row r="297" spans="1:14" x14ac:dyDescent="0.25">
      <c r="A297" s="16"/>
      <c r="B297" s="16"/>
      <c r="C297" s="16"/>
      <c r="D297" s="16"/>
      <c r="E297" s="16"/>
      <c r="F297" s="16"/>
      <c r="G297" s="16"/>
      <c r="H297" s="16"/>
      <c r="I297" s="16"/>
      <c r="J297" s="18" t="str">
        <f t="shared" si="8"/>
        <v/>
      </c>
      <c r="K297" s="16"/>
      <c r="L297" s="18" t="str">
        <f>IF(A297="","",COUNTIF(Œuvres!$C$2:$C$301,A297))</f>
        <v/>
      </c>
      <c r="M297" s="18" t="str">
        <f t="shared" ca="1" si="9"/>
        <v/>
      </c>
      <c r="N297" s="16"/>
    </row>
    <row r="298" spans="1:14" x14ac:dyDescent="0.25">
      <c r="A298" s="16"/>
      <c r="B298" s="16"/>
      <c r="C298" s="16"/>
      <c r="D298" s="16"/>
      <c r="E298" s="16"/>
      <c r="F298" s="16"/>
      <c r="G298" s="16"/>
      <c r="H298" s="16"/>
      <c r="I298" s="16"/>
      <c r="J298" s="18" t="str">
        <f t="shared" si="8"/>
        <v/>
      </c>
      <c r="K298" s="16"/>
      <c r="L298" s="18" t="str">
        <f>IF(A298="","",COUNTIF(Œuvres!$C$2:$C$301,A298))</f>
        <v/>
      </c>
      <c r="M298" s="18" t="str">
        <f t="shared" ca="1" si="9"/>
        <v/>
      </c>
      <c r="N298" s="16"/>
    </row>
    <row r="299" spans="1:14" x14ac:dyDescent="0.25">
      <c r="A299" s="16"/>
      <c r="B299" s="16"/>
      <c r="C299" s="16"/>
      <c r="D299" s="16"/>
      <c r="E299" s="16"/>
      <c r="F299" s="16"/>
      <c r="G299" s="16"/>
      <c r="H299" s="16"/>
      <c r="I299" s="16"/>
      <c r="J299" s="18" t="str">
        <f t="shared" si="8"/>
        <v/>
      </c>
      <c r="K299" s="16"/>
      <c r="L299" s="18" t="str">
        <f>IF(A299="","",COUNTIF(Œuvres!$C$2:$C$301,A299))</f>
        <v/>
      </c>
      <c r="M299" s="18" t="str">
        <f t="shared" ca="1" si="9"/>
        <v/>
      </c>
      <c r="N299" s="16"/>
    </row>
    <row r="300" spans="1:14" x14ac:dyDescent="0.25">
      <c r="A300" s="16"/>
      <c r="B300" s="16"/>
      <c r="C300" s="16"/>
      <c r="D300" s="16"/>
      <c r="E300" s="16"/>
      <c r="F300" s="16"/>
      <c r="G300" s="16"/>
      <c r="H300" s="16"/>
      <c r="I300" s="16"/>
      <c r="J300" s="18" t="str">
        <f t="shared" si="8"/>
        <v/>
      </c>
      <c r="K300" s="16"/>
      <c r="L300" s="18" t="str">
        <f>IF(A300="","",COUNTIF(Œuvres!$C$2:$C$301,A300))</f>
        <v/>
      </c>
      <c r="M300" s="18" t="str">
        <f t="shared" ca="1" si="9"/>
        <v/>
      </c>
      <c r="N300" s="16"/>
    </row>
    <row r="301" spans="1:14" x14ac:dyDescent="0.25">
      <c r="A301" s="16"/>
      <c r="B301" s="16"/>
      <c r="C301" s="16"/>
      <c r="D301" s="16"/>
      <c r="E301" s="16"/>
      <c r="F301" s="16"/>
      <c r="G301" s="16"/>
      <c r="H301" s="16"/>
      <c r="I301" s="16"/>
      <c r="J301" s="18" t="str">
        <f t="shared" si="8"/>
        <v/>
      </c>
      <c r="K301" s="16"/>
      <c r="L301" s="18" t="str">
        <f>IF(A301="","",COUNTIF(Œuvres!$C$2:$C$301,A301))</f>
        <v/>
      </c>
      <c r="M301" s="18" t="str">
        <f t="shared" ca="1" si="9"/>
        <v/>
      </c>
      <c r="N301" s="16"/>
    </row>
  </sheetData>
  <autoFilter ref="A1:N301" xr:uid="{00000000-0009-0000-0000-000002000000}"/>
  <dataValidations count="1">
    <dataValidation type="list" allowBlank="1" showErrorMessage="1" errorTitle="Valeur inconnue" error="Choisis une valeur de la liste." sqref="K2:K301" xr:uid="{00000000-0002-0000-0200-000001000000}">
      <formula1>"à rédiger,en cours,rédigée"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errorTitle="Valeur inconnue" error="Choisis une valeur de la liste." xr:uid="{00000000-0002-0000-0200-000000000000}">
          <x14:formula1>
            <xm:f>Mouvements!$A$2:$A$301</xm:f>
          </x14:formula1>
          <x14:formula2>
            <xm:f>0</xm:f>
          </x14:formula2>
          <xm:sqref>G2:G301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Q301"/>
  <sheetViews>
    <sheetView tabSelected="1" zoomScaleNormal="100" workbookViewId="0">
      <pane xSplit="2" ySplit="1" topLeftCell="G2" activePane="bottomRight" state="frozen"/>
      <selection pane="topRight" activeCell="C1" sqref="C1"/>
      <selection pane="bottomLeft" activeCell="A2" sqref="A2"/>
      <selection pane="bottomRight" activeCell="K10" sqref="K10"/>
    </sheetView>
  </sheetViews>
  <sheetFormatPr defaultColWidth="8.7109375" defaultRowHeight="15" x14ac:dyDescent="0.25"/>
  <cols>
    <col min="1" max="1" width="30" customWidth="1"/>
    <col min="2" max="2" width="34" customWidth="1"/>
    <col min="3" max="3" width="12" customWidth="1"/>
    <col min="4" max="4" width="20" customWidth="1"/>
    <col min="5" max="5" width="7" customWidth="1"/>
    <col min="6" max="6" width="20" customWidth="1"/>
    <col min="7" max="7" width="18" customWidth="1"/>
    <col min="8" max="8" width="16" customWidth="1"/>
    <col min="9" max="9" width="26" customWidth="1"/>
    <col min="10" max="10" width="13" customWidth="1"/>
    <col min="11" max="11" width="10" customWidth="1"/>
    <col min="12" max="12" width="20" customWidth="1"/>
    <col min="13" max="13" width="44" customWidth="1"/>
    <col min="14" max="14" width="30" customWidth="1"/>
    <col min="15" max="15" width="12" customWidth="1"/>
    <col min="16" max="16" width="14" customWidth="1"/>
    <col min="17" max="17" width="60" customWidth="1"/>
  </cols>
  <sheetData>
    <row r="1" spans="1:17" ht="33.75" customHeight="1" x14ac:dyDescent="0.25">
      <c r="A1" s="13" t="s">
        <v>30</v>
      </c>
      <c r="B1" s="13" t="s">
        <v>229</v>
      </c>
      <c r="C1" s="13" t="s">
        <v>230</v>
      </c>
      <c r="D1" s="15" t="s">
        <v>231</v>
      </c>
      <c r="E1" s="13" t="s">
        <v>232</v>
      </c>
      <c r="F1" s="13" t="s">
        <v>233</v>
      </c>
      <c r="G1" s="13" t="s">
        <v>234</v>
      </c>
      <c r="H1" s="13" t="s">
        <v>235</v>
      </c>
      <c r="I1" s="13" t="s">
        <v>236</v>
      </c>
      <c r="J1" s="13" t="s">
        <v>237</v>
      </c>
      <c r="K1" s="13" t="s">
        <v>238</v>
      </c>
      <c r="L1" s="13" t="s">
        <v>239</v>
      </c>
      <c r="M1" s="14" t="s">
        <v>36</v>
      </c>
      <c r="N1" s="15" t="s">
        <v>37</v>
      </c>
      <c r="O1" s="13" t="s">
        <v>22</v>
      </c>
      <c r="P1" s="15" t="s">
        <v>96</v>
      </c>
      <c r="Q1" s="13" t="s">
        <v>40</v>
      </c>
    </row>
    <row r="2" spans="1:17" ht="25.5" x14ac:dyDescent="0.25">
      <c r="A2" s="16" t="s">
        <v>240</v>
      </c>
      <c r="B2" s="16" t="s">
        <v>241</v>
      </c>
      <c r="C2" s="16" t="s">
        <v>97</v>
      </c>
      <c r="D2" s="18" t="str">
        <f>IF(C2="","",IFERROR(INDEX(Artistes!$B$2:$B$301,MATCH(C2,Artistes!$A$2:$A$301,0)),"ID inconnu"))</f>
        <v>Claude Monet</v>
      </c>
      <c r="E2" s="16">
        <v>1872</v>
      </c>
      <c r="F2" s="16" t="s">
        <v>41</v>
      </c>
      <c r="G2" s="16"/>
      <c r="H2" s="16" t="s">
        <v>242</v>
      </c>
      <c r="I2" s="16" t="s">
        <v>243</v>
      </c>
      <c r="J2" s="16" t="s">
        <v>244</v>
      </c>
      <c r="K2" s="16" t="s">
        <v>245</v>
      </c>
      <c r="L2" t="s">
        <v>639</v>
      </c>
      <c r="M2" s="16"/>
      <c r="N2" s="18" t="str">
        <f t="shared" ref="N2:N65" si="0">IF(A2="","","oeuvres/"&amp;A2&amp;".md")</f>
        <v>oeuvres/impression-soleil-levant.md</v>
      </c>
      <c r="O2" s="16" t="s">
        <v>246</v>
      </c>
      <c r="P2" s="18" t="str">
        <f ca="1">IF(C2="","",IFERROR(INDEX(Artistes!$M$2:$M$301,MATCH(C2,Artistes!$A$2:$A$301,0)),""))</f>
        <v>Oui (à vérifier)</v>
      </c>
      <c r="Q2" s="19" t="s">
        <v>247</v>
      </c>
    </row>
    <row r="3" spans="1:17" x14ac:dyDescent="0.25">
      <c r="A3" s="16" t="s">
        <v>248</v>
      </c>
      <c r="B3" s="16" t="s">
        <v>249</v>
      </c>
      <c r="C3" s="16" t="s">
        <v>97</v>
      </c>
      <c r="D3" s="18" t="str">
        <f>IF(C3="","",IFERROR(INDEX(Artistes!$B$2:$B$301,MATCH(C3,Artistes!$A$2:$A$301,0)),"ID inconnu"))</f>
        <v>Claude Monet</v>
      </c>
      <c r="E3" s="16">
        <v>1877</v>
      </c>
      <c r="F3" s="16" t="s">
        <v>41</v>
      </c>
      <c r="G3" s="16" t="s">
        <v>250</v>
      </c>
      <c r="H3" s="16" t="s">
        <v>242</v>
      </c>
      <c r="I3" s="16" t="s">
        <v>251</v>
      </c>
      <c r="J3" s="16" t="s">
        <v>244</v>
      </c>
      <c r="K3" s="16"/>
      <c r="L3" s="16"/>
      <c r="M3" s="16"/>
      <c r="N3" s="18" t="str">
        <f t="shared" si="0"/>
        <v>oeuvres/la-gare-saint-lazare.md</v>
      </c>
      <c r="O3" s="16" t="s">
        <v>246</v>
      </c>
      <c r="P3" s="18" t="str">
        <f ca="1">IF(C3="","",IFERROR(INDEX(Artistes!$M$2:$M$301,MATCH(C3,Artistes!$A$2:$A$301,0)),""))</f>
        <v>Oui (à vérifier)</v>
      </c>
      <c r="Q3" s="16"/>
    </row>
    <row r="4" spans="1:17" x14ac:dyDescent="0.25">
      <c r="A4" s="16" t="s">
        <v>252</v>
      </c>
      <c r="B4" s="16" t="s">
        <v>253</v>
      </c>
      <c r="C4" s="16" t="s">
        <v>97</v>
      </c>
      <c r="D4" s="18" t="str">
        <f>IF(C4="","",IFERROR(INDEX(Artistes!$B$2:$B$301,MATCH(C4,Artistes!$A$2:$A$301,0)),"ID inconnu"))</f>
        <v>Claude Monet</v>
      </c>
      <c r="E4" s="16">
        <v>1883</v>
      </c>
      <c r="F4" s="16" t="s">
        <v>41</v>
      </c>
      <c r="G4" s="16" t="s">
        <v>254</v>
      </c>
      <c r="H4" s="16" t="s">
        <v>242</v>
      </c>
      <c r="I4" s="16"/>
      <c r="J4" s="16"/>
      <c r="K4" s="16"/>
      <c r="L4" s="16"/>
      <c r="M4" s="16"/>
      <c r="N4" s="18" t="str">
        <f t="shared" si="0"/>
        <v>oeuvres/falaises-a-etretat.md</v>
      </c>
      <c r="O4" s="16" t="s">
        <v>246</v>
      </c>
      <c r="P4" s="18" t="str">
        <f ca="1">IF(C4="","",IFERROR(INDEX(Artistes!$M$2:$M$301,MATCH(C4,Artistes!$A$2:$A$301,0)),""))</f>
        <v>Oui (à vérifier)</v>
      </c>
      <c r="Q4" s="16"/>
    </row>
    <row r="5" spans="1:17" ht="25.5" x14ac:dyDescent="0.25">
      <c r="A5" s="16" t="s">
        <v>255</v>
      </c>
      <c r="B5" s="16" t="s">
        <v>256</v>
      </c>
      <c r="C5" s="16" t="s">
        <v>97</v>
      </c>
      <c r="D5" s="18" t="str">
        <f>IF(C5="","",IFERROR(INDEX(Artistes!$B$2:$B$301,MATCH(C5,Artistes!$A$2:$A$301,0)),"ID inconnu"))</f>
        <v>Claude Monet</v>
      </c>
      <c r="E5" s="16">
        <v>1892</v>
      </c>
      <c r="F5" s="16" t="s">
        <v>41</v>
      </c>
      <c r="G5" s="16" t="s">
        <v>257</v>
      </c>
      <c r="H5" s="16" t="s">
        <v>242</v>
      </c>
      <c r="I5" s="16"/>
      <c r="J5" s="16"/>
      <c r="K5" s="16"/>
      <c r="L5" s="16"/>
      <c r="M5" s="16"/>
      <c r="N5" s="18" t="str">
        <f t="shared" si="0"/>
        <v>oeuvres/cathedrales-de-rouen.md</v>
      </c>
      <c r="O5" s="16" t="s">
        <v>246</v>
      </c>
      <c r="P5" s="18" t="str">
        <f ca="1">IF(C5="","",IFERROR(INDEX(Artistes!$M$2:$M$301,MATCH(C5,Artistes!$A$2:$A$301,0)),""))</f>
        <v>Oui (à vérifier)</v>
      </c>
      <c r="Q5" s="19" t="s">
        <v>258</v>
      </c>
    </row>
    <row r="6" spans="1:17" ht="25.5" x14ac:dyDescent="0.25">
      <c r="A6" s="16" t="s">
        <v>259</v>
      </c>
      <c r="B6" s="16" t="s">
        <v>260</v>
      </c>
      <c r="C6" s="16" t="s">
        <v>97</v>
      </c>
      <c r="D6" s="18" t="str">
        <f>IF(C6="","",IFERROR(INDEX(Artistes!$B$2:$B$301,MATCH(C6,Artistes!$A$2:$A$301,0)),"ID inconnu"))</f>
        <v>Claude Monet</v>
      </c>
      <c r="E6" s="16">
        <v>1899</v>
      </c>
      <c r="F6" s="16" t="s">
        <v>41</v>
      </c>
      <c r="G6" s="16" t="s">
        <v>261</v>
      </c>
      <c r="H6" s="16" t="s">
        <v>242</v>
      </c>
      <c r="I6" s="16" t="s">
        <v>262</v>
      </c>
      <c r="J6" s="16" t="s">
        <v>244</v>
      </c>
      <c r="K6" s="16"/>
      <c r="L6" s="16"/>
      <c r="M6" s="16"/>
      <c r="N6" s="18" t="str">
        <f t="shared" si="0"/>
        <v>oeuvres/les-nympheas.md</v>
      </c>
      <c r="O6" s="16" t="s">
        <v>246</v>
      </c>
      <c r="P6" s="18" t="str">
        <f ca="1">IF(C6="","",IFERROR(INDEX(Artistes!$M$2:$M$301,MATCH(C6,Artistes!$A$2:$A$301,0)),""))</f>
        <v>Oui (à vérifier)</v>
      </c>
      <c r="Q6" s="16"/>
    </row>
    <row r="7" spans="1:17" ht="25.5" x14ac:dyDescent="0.25">
      <c r="A7" s="16" t="s">
        <v>263</v>
      </c>
      <c r="B7" s="16" t="s">
        <v>264</v>
      </c>
      <c r="C7" s="16" t="s">
        <v>102</v>
      </c>
      <c r="D7" s="18" t="str">
        <f>IF(C7="","",IFERROR(INDEX(Artistes!$B$2:$B$301,MATCH(C7,Artistes!$A$2:$A$301,0)),"ID inconnu"))</f>
        <v>Pierre-Auguste Renoir</v>
      </c>
      <c r="E7" s="16">
        <v>1876</v>
      </c>
      <c r="F7" s="16" t="s">
        <v>41</v>
      </c>
      <c r="G7" s="16"/>
      <c r="H7" s="16" t="s">
        <v>242</v>
      </c>
      <c r="I7" s="16" t="s">
        <v>265</v>
      </c>
      <c r="J7" s="16" t="s">
        <v>244</v>
      </c>
      <c r="K7" s="16"/>
      <c r="L7" s="16"/>
      <c r="M7" s="16"/>
      <c r="N7" s="18" t="str">
        <f t="shared" si="0"/>
        <v>oeuvres/le-bal-du-moulin-de-la-galette.md</v>
      </c>
      <c r="O7" s="16" t="s">
        <v>246</v>
      </c>
      <c r="P7" s="18" t="str">
        <f ca="1">IF(C7="","",IFERROR(INDEX(Artistes!$M$2:$M$301,MATCH(C7,Artistes!$A$2:$A$301,0)),""))</f>
        <v>Oui (à vérifier)</v>
      </c>
      <c r="Q7" s="16"/>
    </row>
    <row r="8" spans="1:17" ht="25.5" x14ac:dyDescent="0.25">
      <c r="A8" s="16" t="s">
        <v>266</v>
      </c>
      <c r="B8" s="16" t="s">
        <v>267</v>
      </c>
      <c r="C8" s="16" t="s">
        <v>102</v>
      </c>
      <c r="D8" s="18" t="str">
        <f>IF(C8="","",IFERROR(INDEX(Artistes!$B$2:$B$301,MATCH(C8,Artistes!$A$2:$A$301,0)),"ID inconnu"))</f>
        <v>Pierre-Auguste Renoir</v>
      </c>
      <c r="E8" s="16">
        <v>1881</v>
      </c>
      <c r="F8" s="16" t="s">
        <v>41</v>
      </c>
      <c r="G8" s="16" t="s">
        <v>268</v>
      </c>
      <c r="H8" s="16" t="s">
        <v>242</v>
      </c>
      <c r="I8" s="16" t="s">
        <v>269</v>
      </c>
      <c r="J8" s="16" t="s">
        <v>270</v>
      </c>
      <c r="K8" s="16" t="s">
        <v>245</v>
      </c>
      <c r="L8" s="16"/>
      <c r="M8" s="16"/>
      <c r="N8" s="18" t="str">
        <f t="shared" si="0"/>
        <v>oeuvres/le-dejeuner-des-canotiers.md</v>
      </c>
      <c r="O8" s="16" t="s">
        <v>246</v>
      </c>
      <c r="P8" s="18" t="str">
        <f ca="1">IF(C8="","",IFERROR(INDEX(Artistes!$M$2:$M$301,MATCH(C8,Artistes!$A$2:$A$301,0)),""))</f>
        <v>Oui (à vérifier)</v>
      </c>
      <c r="Q8" s="16"/>
    </row>
    <row r="9" spans="1:17" x14ac:dyDescent="0.25">
      <c r="A9" s="16" t="s">
        <v>271</v>
      </c>
      <c r="B9" s="16" t="s">
        <v>272</v>
      </c>
      <c r="C9" s="16" t="s">
        <v>102</v>
      </c>
      <c r="D9" s="18" t="str">
        <f>IF(C9="","",IFERROR(INDEX(Artistes!$B$2:$B$301,MATCH(C9,Artistes!$A$2:$A$301,0)),"ID inconnu"))</f>
        <v>Pierre-Auguste Renoir</v>
      </c>
      <c r="E9" s="16">
        <v>1883</v>
      </c>
      <c r="F9" s="16" t="s">
        <v>41</v>
      </c>
      <c r="G9" s="16"/>
      <c r="H9" s="16" t="s">
        <v>242</v>
      </c>
      <c r="I9" s="16" t="s">
        <v>273</v>
      </c>
      <c r="J9" s="16" t="s">
        <v>274</v>
      </c>
      <c r="K9" s="16"/>
      <c r="L9" s="16"/>
      <c r="M9" s="16"/>
      <c r="N9" s="18" t="str">
        <f t="shared" si="0"/>
        <v>oeuvres/la-danse-a-bougival.md</v>
      </c>
      <c r="O9" s="16" t="s">
        <v>246</v>
      </c>
      <c r="P9" s="18" t="str">
        <f ca="1">IF(C9="","",IFERROR(INDEX(Artistes!$M$2:$M$301,MATCH(C9,Artistes!$A$2:$A$301,0)),""))</f>
        <v>Oui (à vérifier)</v>
      </c>
      <c r="Q9" s="16"/>
    </row>
    <row r="10" spans="1:17" ht="25.5" x14ac:dyDescent="0.25">
      <c r="A10" s="16" t="s">
        <v>275</v>
      </c>
      <c r="B10" s="16" t="s">
        <v>276</v>
      </c>
      <c r="C10" s="16" t="s">
        <v>105</v>
      </c>
      <c r="D10" s="18" t="str">
        <f>IF(C10="","",IFERROR(INDEX(Artistes!$B$2:$B$301,MATCH(C10,Artistes!$A$2:$A$301,0)),"ID inconnu"))</f>
        <v>Edgar Degas</v>
      </c>
      <c r="E10" s="16">
        <v>1874</v>
      </c>
      <c r="F10" s="16" t="s">
        <v>41</v>
      </c>
      <c r="G10" s="16" t="s">
        <v>277</v>
      </c>
      <c r="H10" s="16" t="s">
        <v>242</v>
      </c>
      <c r="I10" s="16" t="s">
        <v>265</v>
      </c>
      <c r="J10" s="16" t="s">
        <v>244</v>
      </c>
      <c r="K10" s="16"/>
      <c r="L10" s="16"/>
      <c r="M10" s="16"/>
      <c r="N10" s="18" t="str">
        <f t="shared" si="0"/>
        <v>oeuvres/la-classe-de-danse.md</v>
      </c>
      <c r="O10" s="16" t="s">
        <v>246</v>
      </c>
      <c r="P10" s="18" t="str">
        <f ca="1">IF(C10="","",IFERROR(INDEX(Artistes!$M$2:$M$301,MATCH(C10,Artistes!$A$2:$A$301,0)),""))</f>
        <v>Oui (à vérifier)</v>
      </c>
      <c r="Q10" s="19" t="s">
        <v>278</v>
      </c>
    </row>
    <row r="11" spans="1:17" x14ac:dyDescent="0.25">
      <c r="A11" s="16" t="s">
        <v>279</v>
      </c>
      <c r="B11" s="16" t="s">
        <v>280</v>
      </c>
      <c r="C11" s="16" t="s">
        <v>105</v>
      </c>
      <c r="D11" s="18" t="str">
        <f>IF(C11="","",IFERROR(INDEX(Artistes!$B$2:$B$301,MATCH(C11,Artistes!$A$2:$A$301,0)),"ID inconnu"))</f>
        <v>Edgar Degas</v>
      </c>
      <c r="E11" s="16">
        <v>1876</v>
      </c>
      <c r="F11" s="16" t="s">
        <v>41</v>
      </c>
      <c r="G11" s="16" t="s">
        <v>281</v>
      </c>
      <c r="H11" s="16" t="s">
        <v>242</v>
      </c>
      <c r="I11" s="16" t="s">
        <v>265</v>
      </c>
      <c r="J11" s="16" t="s">
        <v>244</v>
      </c>
      <c r="K11" s="16"/>
      <c r="L11" s="16"/>
      <c r="M11" s="16"/>
      <c r="N11" s="18" t="str">
        <f t="shared" si="0"/>
        <v>oeuvres/l-absinthe.md</v>
      </c>
      <c r="O11" s="16" t="s">
        <v>246</v>
      </c>
      <c r="P11" s="18" t="str">
        <f ca="1">IF(C11="","",IFERROR(INDEX(Artistes!$M$2:$M$301,MATCH(C11,Artistes!$A$2:$A$301,0)),""))</f>
        <v>Oui (à vérifier)</v>
      </c>
      <c r="Q11" s="16"/>
    </row>
    <row r="12" spans="1:17" x14ac:dyDescent="0.25">
      <c r="A12" s="16" t="s">
        <v>282</v>
      </c>
      <c r="B12" s="16" t="s">
        <v>283</v>
      </c>
      <c r="C12" s="16" t="s">
        <v>105</v>
      </c>
      <c r="D12" s="18" t="str">
        <f>IF(C12="","",IFERROR(INDEX(Artistes!$B$2:$B$301,MATCH(C12,Artistes!$A$2:$A$301,0)),"ID inconnu"))</f>
        <v>Edgar Degas</v>
      </c>
      <c r="E12" s="16">
        <v>1897</v>
      </c>
      <c r="F12" s="16" t="s">
        <v>41</v>
      </c>
      <c r="G12" s="16"/>
      <c r="H12" s="16" t="s">
        <v>242</v>
      </c>
      <c r="I12" s="16"/>
      <c r="J12" s="16"/>
      <c r="K12" s="16"/>
      <c r="L12" s="16"/>
      <c r="M12" s="16"/>
      <c r="N12" s="18" t="str">
        <f t="shared" si="0"/>
        <v>oeuvres/danseuses-bleues.md</v>
      </c>
      <c r="O12" s="16" t="s">
        <v>246</v>
      </c>
      <c r="P12" s="18" t="str">
        <f ca="1">IF(C12="","",IFERROR(INDEX(Artistes!$M$2:$M$301,MATCH(C12,Artistes!$A$2:$A$301,0)),""))</f>
        <v>Oui (à vérifier)</v>
      </c>
      <c r="Q12" s="19" t="s">
        <v>284</v>
      </c>
    </row>
    <row r="13" spans="1:17" ht="25.5" x14ac:dyDescent="0.25">
      <c r="A13" s="16" t="s">
        <v>285</v>
      </c>
      <c r="B13" s="16" t="s">
        <v>286</v>
      </c>
      <c r="C13" s="16" t="s">
        <v>108</v>
      </c>
      <c r="D13" s="18" t="str">
        <f>IF(C13="","",IFERROR(INDEX(Artistes!$B$2:$B$301,MATCH(C13,Artistes!$A$2:$A$301,0)),"ID inconnu"))</f>
        <v>Camille Pissarro</v>
      </c>
      <c r="E13" s="16">
        <v>1867</v>
      </c>
      <c r="F13" s="16" t="s">
        <v>41</v>
      </c>
      <c r="G13" s="16"/>
      <c r="H13" s="16" t="s">
        <v>242</v>
      </c>
      <c r="I13" s="16"/>
      <c r="J13" s="16"/>
      <c r="K13" s="16"/>
      <c r="L13" s="16"/>
      <c r="M13" s="16"/>
      <c r="N13" s="18" t="str">
        <f t="shared" si="0"/>
        <v>oeuvres/les-bords-de-l-oise-a-pontoise.md</v>
      </c>
      <c r="O13" s="16" t="s">
        <v>246</v>
      </c>
      <c r="P13" s="18" t="str">
        <f ca="1">IF(C13="","",IFERROR(INDEX(Artistes!$M$2:$M$301,MATCH(C13,Artistes!$A$2:$A$301,0)),""))</f>
        <v>Oui (à vérifier)</v>
      </c>
      <c r="Q13" s="19" t="s">
        <v>287</v>
      </c>
    </row>
    <row r="14" spans="1:17" ht="25.5" x14ac:dyDescent="0.25">
      <c r="A14" s="16" t="s">
        <v>288</v>
      </c>
      <c r="B14" s="16" t="s">
        <v>289</v>
      </c>
      <c r="C14" s="16" t="s">
        <v>108</v>
      </c>
      <c r="D14" s="18" t="str">
        <f>IF(C14="","",IFERROR(INDEX(Artistes!$B$2:$B$301,MATCH(C14,Artistes!$A$2:$A$301,0)),"ID inconnu"))</f>
        <v>Camille Pissarro</v>
      </c>
      <c r="E14" s="16">
        <v>1877</v>
      </c>
      <c r="F14" s="16" t="s">
        <v>41</v>
      </c>
      <c r="G14" s="16"/>
      <c r="H14" s="16" t="s">
        <v>242</v>
      </c>
      <c r="I14" s="16" t="s">
        <v>265</v>
      </c>
      <c r="J14" s="16" t="s">
        <v>244</v>
      </c>
      <c r="K14" s="16"/>
      <c r="L14" s="16"/>
      <c r="M14" s="16"/>
      <c r="N14" s="18" t="str">
        <f t="shared" si="0"/>
        <v>oeuvres/printemps-pruniers-en-fleurs.md</v>
      </c>
      <c r="O14" s="16" t="s">
        <v>246</v>
      </c>
      <c r="P14" s="18" t="str">
        <f ca="1">IF(C14="","",IFERROR(INDEX(Artistes!$M$2:$M$301,MATCH(C14,Artistes!$A$2:$A$301,0)),""))</f>
        <v>Oui (à vérifier)</v>
      </c>
      <c r="Q14" s="16"/>
    </row>
    <row r="15" spans="1:17" x14ac:dyDescent="0.25">
      <c r="A15" s="16" t="s">
        <v>290</v>
      </c>
      <c r="B15" s="16" t="s">
        <v>291</v>
      </c>
      <c r="C15" s="16" t="s">
        <v>108</v>
      </c>
      <c r="D15" s="18" t="str">
        <f>IF(C15="","",IFERROR(INDEX(Artistes!$B$2:$B$301,MATCH(C15,Artistes!$A$2:$A$301,0)),"ID inconnu"))</f>
        <v>Camille Pissarro</v>
      </c>
      <c r="E15" s="16">
        <v>1894</v>
      </c>
      <c r="F15" s="16" t="s">
        <v>41</v>
      </c>
      <c r="G15" s="16"/>
      <c r="H15" s="16" t="s">
        <v>242</v>
      </c>
      <c r="I15" s="16"/>
      <c r="J15" s="16"/>
      <c r="K15" s="16"/>
      <c r="L15" s="16"/>
      <c r="M15" s="16"/>
      <c r="N15" s="18" t="str">
        <f t="shared" si="0"/>
        <v>oeuvres/soleil-levant-a-eragny.md</v>
      </c>
      <c r="O15" s="16" t="s">
        <v>246</v>
      </c>
      <c r="P15" s="18" t="str">
        <f ca="1">IF(C15="","",IFERROR(INDEX(Artistes!$M$2:$M$301,MATCH(C15,Artistes!$A$2:$A$301,0)),""))</f>
        <v>Oui (à vérifier)</v>
      </c>
      <c r="Q15" s="16"/>
    </row>
    <row r="16" spans="1:17" x14ac:dyDescent="0.25">
      <c r="A16" s="16" t="s">
        <v>292</v>
      </c>
      <c r="B16" s="16" t="s">
        <v>293</v>
      </c>
      <c r="C16" s="16" t="s">
        <v>112</v>
      </c>
      <c r="D16" s="18" t="str">
        <f>IF(C16="","",IFERROR(INDEX(Artistes!$B$2:$B$301,MATCH(C16,Artistes!$A$2:$A$301,0)),"ID inconnu"))</f>
        <v>Berthe Morisot</v>
      </c>
      <c r="E16" s="16">
        <v>1872</v>
      </c>
      <c r="F16" s="16" t="s">
        <v>41</v>
      </c>
      <c r="G16" s="16"/>
      <c r="H16" s="16" t="s">
        <v>242</v>
      </c>
      <c r="I16" s="16" t="s">
        <v>265</v>
      </c>
      <c r="J16" s="16" t="s">
        <v>244</v>
      </c>
      <c r="K16" s="16" t="s">
        <v>245</v>
      </c>
      <c r="L16" s="16"/>
      <c r="M16" s="16"/>
      <c r="N16" s="18" t="str">
        <f t="shared" si="0"/>
        <v>oeuvres/le-berceau.md</v>
      </c>
      <c r="O16" s="16" t="s">
        <v>246</v>
      </c>
      <c r="P16" s="18" t="str">
        <f ca="1">IF(C16="","",IFERROR(INDEX(Artistes!$M$2:$M$301,MATCH(C16,Artistes!$A$2:$A$301,0)),""))</f>
        <v>Oui (à vérifier)</v>
      </c>
      <c r="Q16" s="19" t="s">
        <v>294</v>
      </c>
    </row>
    <row r="17" spans="1:17" ht="25.5" x14ac:dyDescent="0.25">
      <c r="A17" s="16" t="s">
        <v>295</v>
      </c>
      <c r="B17" s="16" t="s">
        <v>296</v>
      </c>
      <c r="C17" s="16" t="s">
        <v>116</v>
      </c>
      <c r="D17" s="18" t="str">
        <f>IF(C17="","",IFERROR(INDEX(Artistes!$B$2:$B$301,MATCH(C17,Artistes!$A$2:$A$301,0)),"ID inconnu"))</f>
        <v>Vincent van Gogh</v>
      </c>
      <c r="E17" s="16">
        <v>1885</v>
      </c>
      <c r="F17" s="16" t="s">
        <v>48</v>
      </c>
      <c r="G17" s="16"/>
      <c r="H17" s="16" t="s">
        <v>242</v>
      </c>
      <c r="I17" s="16" t="s">
        <v>297</v>
      </c>
      <c r="J17" s="16" t="s">
        <v>298</v>
      </c>
      <c r="K17" s="16"/>
      <c r="L17" s="16"/>
      <c r="M17" s="16"/>
      <c r="N17" s="18" t="str">
        <f t="shared" si="0"/>
        <v>oeuvres/les-mangeurs-de-pommes-de-terre.md</v>
      </c>
      <c r="O17" s="16" t="s">
        <v>246</v>
      </c>
      <c r="P17" s="18" t="str">
        <f ca="1">IF(C17="","",IFERROR(INDEX(Artistes!$M$2:$M$301,MATCH(C17,Artistes!$A$2:$A$301,0)),""))</f>
        <v>Oui (à vérifier)</v>
      </c>
      <c r="Q17" s="16"/>
    </row>
    <row r="18" spans="1:17" x14ac:dyDescent="0.25">
      <c r="A18" s="16" t="s">
        <v>299</v>
      </c>
      <c r="B18" s="16" t="s">
        <v>300</v>
      </c>
      <c r="C18" s="16" t="s">
        <v>116</v>
      </c>
      <c r="D18" s="18" t="str">
        <f>IF(C18="","",IFERROR(INDEX(Artistes!$B$2:$B$301,MATCH(C18,Artistes!$A$2:$A$301,0)),"ID inconnu"))</f>
        <v>Vincent van Gogh</v>
      </c>
      <c r="E18" s="16">
        <v>1888</v>
      </c>
      <c r="F18" s="16" t="s">
        <v>48</v>
      </c>
      <c r="G18" s="16" t="s">
        <v>301</v>
      </c>
      <c r="H18" s="16" t="s">
        <v>242</v>
      </c>
      <c r="I18" s="16" t="s">
        <v>302</v>
      </c>
      <c r="J18" s="16" t="s">
        <v>303</v>
      </c>
      <c r="K18" s="16"/>
      <c r="L18" s="16"/>
      <c r="M18" s="16"/>
      <c r="N18" s="18" t="str">
        <f t="shared" si="0"/>
        <v>oeuvres/tournesols.md</v>
      </c>
      <c r="O18" s="16" t="s">
        <v>246</v>
      </c>
      <c r="P18" s="18" t="str">
        <f ca="1">IF(C18="","",IFERROR(INDEX(Artistes!$M$2:$M$301,MATCH(C18,Artistes!$A$2:$A$301,0)),""))</f>
        <v>Oui (à vérifier)</v>
      </c>
      <c r="Q18" s="16"/>
    </row>
    <row r="19" spans="1:17" ht="25.5" x14ac:dyDescent="0.25">
      <c r="A19" s="16" t="s">
        <v>304</v>
      </c>
      <c r="B19" s="16" t="s">
        <v>305</v>
      </c>
      <c r="C19" s="16" t="s">
        <v>116</v>
      </c>
      <c r="D19" s="18" t="str">
        <f>IF(C19="","",IFERROR(INDEX(Artistes!$B$2:$B$301,MATCH(C19,Artistes!$A$2:$A$301,0)),"ID inconnu"))</f>
        <v>Vincent van Gogh</v>
      </c>
      <c r="E19" s="16">
        <v>1888</v>
      </c>
      <c r="F19" s="16" t="s">
        <v>48</v>
      </c>
      <c r="G19" s="16"/>
      <c r="H19" s="16" t="s">
        <v>242</v>
      </c>
      <c r="I19" s="16" t="s">
        <v>306</v>
      </c>
      <c r="J19" s="16" t="s">
        <v>298</v>
      </c>
      <c r="K19" s="16" t="s">
        <v>245</v>
      </c>
      <c r="L19" s="16"/>
      <c r="M19" s="16"/>
      <c r="N19" s="18" t="str">
        <f t="shared" si="0"/>
        <v>oeuvres/la-chambre-a-arles.md</v>
      </c>
      <c r="O19" s="16" t="s">
        <v>246</v>
      </c>
      <c r="P19" s="18" t="str">
        <f ca="1">IF(C19="","",IFERROR(INDEX(Artistes!$M$2:$M$301,MATCH(C19,Artistes!$A$2:$A$301,0)),""))</f>
        <v>Oui (à vérifier)</v>
      </c>
      <c r="Q19" s="19" t="s">
        <v>307</v>
      </c>
    </row>
    <row r="20" spans="1:17" x14ac:dyDescent="0.25">
      <c r="A20" s="16" t="s">
        <v>308</v>
      </c>
      <c r="B20" s="16" t="s">
        <v>309</v>
      </c>
      <c r="C20" s="16" t="s">
        <v>116</v>
      </c>
      <c r="D20" s="18" t="str">
        <f>IF(C20="","",IFERROR(INDEX(Artistes!$B$2:$B$301,MATCH(C20,Artistes!$A$2:$A$301,0)),"ID inconnu"))</f>
        <v>Vincent van Gogh</v>
      </c>
      <c r="E20" s="16">
        <v>1889</v>
      </c>
      <c r="F20" s="16" t="s">
        <v>48</v>
      </c>
      <c r="G20" s="16"/>
      <c r="H20" s="16" t="s">
        <v>242</v>
      </c>
      <c r="I20" s="16" t="s">
        <v>310</v>
      </c>
      <c r="J20" s="16" t="s">
        <v>311</v>
      </c>
      <c r="K20" s="16" t="s">
        <v>245</v>
      </c>
      <c r="L20" s="16"/>
      <c r="M20" s="16"/>
      <c r="N20" s="18" t="str">
        <f t="shared" si="0"/>
        <v>oeuvres/la-nuit-etoilee.md</v>
      </c>
      <c r="O20" s="16" t="s">
        <v>246</v>
      </c>
      <c r="P20" s="18" t="str">
        <f ca="1">IF(C20="","",IFERROR(INDEX(Artistes!$M$2:$M$301,MATCH(C20,Artistes!$A$2:$A$301,0)),""))</f>
        <v>Oui (à vérifier)</v>
      </c>
      <c r="Q20" s="16"/>
    </row>
    <row r="21" spans="1:17" x14ac:dyDescent="0.25">
      <c r="A21" s="16" t="s">
        <v>312</v>
      </c>
      <c r="B21" s="16" t="s">
        <v>313</v>
      </c>
      <c r="C21" s="16" t="s">
        <v>120</v>
      </c>
      <c r="D21" s="18" t="str">
        <f>IF(C21="","",IFERROR(INDEX(Artistes!$B$2:$B$301,MATCH(C21,Artistes!$A$2:$A$301,0)),"ID inconnu"))</f>
        <v>Paul Cézanne</v>
      </c>
      <c r="E21" s="16">
        <v>1892</v>
      </c>
      <c r="F21" s="16" t="s">
        <v>48</v>
      </c>
      <c r="G21" s="16" t="s">
        <v>314</v>
      </c>
      <c r="H21" s="16" t="s">
        <v>242</v>
      </c>
      <c r="I21" s="16" t="s">
        <v>251</v>
      </c>
      <c r="J21" s="16" t="s">
        <v>244</v>
      </c>
      <c r="K21" s="16"/>
      <c r="L21" s="16"/>
      <c r="M21" s="16"/>
      <c r="N21" s="18" t="str">
        <f t="shared" si="0"/>
        <v>oeuvres/les-joueurs-de-cartes.md</v>
      </c>
      <c r="O21" s="16" t="s">
        <v>246</v>
      </c>
      <c r="P21" s="18" t="str">
        <f ca="1">IF(C21="","",IFERROR(INDEX(Artistes!$M$2:$M$301,MATCH(C21,Artistes!$A$2:$A$301,0)),""))</f>
        <v>Oui (à vérifier)</v>
      </c>
      <c r="Q21" s="16"/>
    </row>
    <row r="22" spans="1:17" ht="25.5" x14ac:dyDescent="0.25">
      <c r="A22" s="16" t="s">
        <v>315</v>
      </c>
      <c r="B22" s="16" t="s">
        <v>316</v>
      </c>
      <c r="C22" s="16" t="s">
        <v>120</v>
      </c>
      <c r="D22" s="18" t="str">
        <f>IF(C22="","",IFERROR(INDEX(Artistes!$B$2:$B$301,MATCH(C22,Artistes!$A$2:$A$301,0)),"ID inconnu"))</f>
        <v>Paul Cézanne</v>
      </c>
      <c r="E22" s="16">
        <v>1894</v>
      </c>
      <c r="F22" s="16" t="s">
        <v>48</v>
      </c>
      <c r="G22" s="16" t="s">
        <v>317</v>
      </c>
      <c r="H22" s="16" t="s">
        <v>242</v>
      </c>
      <c r="I22" s="16" t="s">
        <v>318</v>
      </c>
      <c r="J22" s="16" t="s">
        <v>319</v>
      </c>
      <c r="K22" s="16"/>
      <c r="L22" s="16"/>
      <c r="M22" s="16"/>
      <c r="N22" s="18" t="str">
        <f t="shared" si="0"/>
        <v>oeuvres/la-corbeille-de-pommes.md</v>
      </c>
      <c r="O22" s="16" t="s">
        <v>246</v>
      </c>
      <c r="P22" s="18" t="str">
        <f ca="1">IF(C22="","",IFERROR(INDEX(Artistes!$M$2:$M$301,MATCH(C22,Artistes!$A$2:$A$301,0)),""))</f>
        <v>Oui (à vérifier)</v>
      </c>
      <c r="Q22" s="16"/>
    </row>
    <row r="23" spans="1:17" ht="25.5" x14ac:dyDescent="0.25">
      <c r="A23" s="16" t="s">
        <v>320</v>
      </c>
      <c r="B23" s="16" t="s">
        <v>321</v>
      </c>
      <c r="C23" s="16" t="s">
        <v>120</v>
      </c>
      <c r="D23" s="18" t="str">
        <f>IF(C23="","",IFERROR(INDEX(Artistes!$B$2:$B$301,MATCH(C23,Artistes!$A$2:$A$301,0)),"ID inconnu"))</f>
        <v>Paul Cézanne</v>
      </c>
      <c r="E23" s="16">
        <v>1885</v>
      </c>
      <c r="F23" s="16" t="s">
        <v>48</v>
      </c>
      <c r="G23" s="16" t="s">
        <v>322</v>
      </c>
      <c r="H23" s="16" t="s">
        <v>242</v>
      </c>
      <c r="I23" s="16"/>
      <c r="J23" s="16"/>
      <c r="K23" s="16"/>
      <c r="L23" s="16"/>
      <c r="M23" s="16"/>
      <c r="N23" s="18" t="str">
        <f t="shared" si="0"/>
        <v>oeuvres/la-montagne-sainte-victoire.md</v>
      </c>
      <c r="O23" s="16" t="s">
        <v>246</v>
      </c>
      <c r="P23" s="18" t="str">
        <f ca="1">IF(C23="","",IFERROR(INDEX(Artistes!$M$2:$M$301,MATCH(C23,Artistes!$A$2:$A$301,0)),""))</f>
        <v>Oui (à vérifier)</v>
      </c>
      <c r="Q23" s="16"/>
    </row>
    <row r="24" spans="1:17" ht="25.5" x14ac:dyDescent="0.25">
      <c r="A24" s="16" t="s">
        <v>323</v>
      </c>
      <c r="B24" s="16" t="s">
        <v>324</v>
      </c>
      <c r="C24" s="16" t="s">
        <v>120</v>
      </c>
      <c r="D24" s="18" t="str">
        <f>IF(C24="","",IFERROR(INDEX(Artistes!$B$2:$B$301,MATCH(C24,Artistes!$A$2:$A$301,0)),"ID inconnu"))</f>
        <v>Paul Cézanne</v>
      </c>
      <c r="E24" s="16">
        <v>1905</v>
      </c>
      <c r="F24" s="16" t="s">
        <v>48</v>
      </c>
      <c r="G24" s="16" t="s">
        <v>325</v>
      </c>
      <c r="H24" s="16" t="s">
        <v>242</v>
      </c>
      <c r="I24" s="16" t="s">
        <v>326</v>
      </c>
      <c r="J24" s="16" t="s">
        <v>327</v>
      </c>
      <c r="K24" s="16" t="s">
        <v>245</v>
      </c>
      <c r="L24" s="16"/>
      <c r="M24" s="16"/>
      <c r="N24" s="18" t="str">
        <f t="shared" si="0"/>
        <v>oeuvres/les-grandes-baigneuses.md</v>
      </c>
      <c r="O24" s="16" t="s">
        <v>246</v>
      </c>
      <c r="P24" s="18" t="str">
        <f ca="1">IF(C24="","",IFERROR(INDEX(Artistes!$M$2:$M$301,MATCH(C24,Artistes!$A$2:$A$301,0)),""))</f>
        <v>Oui (à vérifier)</v>
      </c>
      <c r="Q24" s="19" t="s">
        <v>328</v>
      </c>
    </row>
    <row r="25" spans="1:17" x14ac:dyDescent="0.25">
      <c r="A25" s="16" t="s">
        <v>329</v>
      </c>
      <c r="B25" s="16" t="s">
        <v>330</v>
      </c>
      <c r="C25" s="16" t="s">
        <v>123</v>
      </c>
      <c r="D25" s="18" t="str">
        <f>IF(C25="","",IFERROR(INDEX(Artistes!$B$2:$B$301,MATCH(C25,Artistes!$A$2:$A$301,0)),"ID inconnu"))</f>
        <v>Paul Gauguin</v>
      </c>
      <c r="E25" s="16">
        <v>1892</v>
      </c>
      <c r="F25" s="16" t="s">
        <v>48</v>
      </c>
      <c r="G25" s="16"/>
      <c r="H25" s="16" t="s">
        <v>242</v>
      </c>
      <c r="I25" s="16" t="s">
        <v>265</v>
      </c>
      <c r="J25" s="16" t="s">
        <v>244</v>
      </c>
      <c r="K25" s="16"/>
      <c r="L25" s="16"/>
      <c r="M25" s="16"/>
      <c r="N25" s="18" t="str">
        <f t="shared" si="0"/>
        <v>oeuvres/joyeusetes-arearea.md</v>
      </c>
      <c r="O25" s="16" t="s">
        <v>246</v>
      </c>
      <c r="P25" s="18" t="str">
        <f ca="1">IF(C25="","",IFERROR(INDEX(Artistes!$M$2:$M$301,MATCH(C25,Artistes!$A$2:$A$301,0)),""))</f>
        <v>Oui (à vérifier)</v>
      </c>
      <c r="Q25" s="16"/>
    </row>
    <row r="26" spans="1:17" ht="25.5" x14ac:dyDescent="0.25">
      <c r="A26" s="16" t="s">
        <v>331</v>
      </c>
      <c r="B26" s="16" t="s">
        <v>332</v>
      </c>
      <c r="C26" s="16" t="s">
        <v>123</v>
      </c>
      <c r="D26" s="18" t="str">
        <f>IF(C26="","",IFERROR(INDEX(Artistes!$B$2:$B$301,MATCH(C26,Artistes!$A$2:$A$301,0)),"ID inconnu"))</f>
        <v>Paul Gauguin</v>
      </c>
      <c r="E26" s="16">
        <v>1894</v>
      </c>
      <c r="F26" s="16" t="s">
        <v>48</v>
      </c>
      <c r="G26" s="16"/>
      <c r="H26" s="16" t="s">
        <v>242</v>
      </c>
      <c r="I26" s="16" t="s">
        <v>318</v>
      </c>
      <c r="J26" s="16" t="s">
        <v>319</v>
      </c>
      <c r="K26" s="16"/>
      <c r="L26" s="16"/>
      <c r="M26" s="16"/>
      <c r="N26" s="18" t="str">
        <f t="shared" si="0"/>
        <v>oeuvres/jour-de-dieu-mahana-no-atua.md</v>
      </c>
      <c r="O26" s="16" t="s">
        <v>246</v>
      </c>
      <c r="P26" s="18" t="str">
        <f ca="1">IF(C26="","",IFERROR(INDEX(Artistes!$M$2:$M$301,MATCH(C26,Artistes!$A$2:$A$301,0)),""))</f>
        <v>Oui (à vérifier)</v>
      </c>
      <c r="Q26" s="16"/>
    </row>
    <row r="27" spans="1:17" ht="25.5" x14ac:dyDescent="0.25">
      <c r="A27" s="16" t="s">
        <v>333</v>
      </c>
      <c r="B27" s="16" t="s">
        <v>334</v>
      </c>
      <c r="C27" s="16" t="s">
        <v>123</v>
      </c>
      <c r="D27" s="18" t="str">
        <f>IF(C27="","",IFERROR(INDEX(Artistes!$B$2:$B$301,MATCH(C27,Artistes!$A$2:$A$301,0)),"ID inconnu"))</f>
        <v>Paul Gauguin</v>
      </c>
      <c r="E27" s="16">
        <v>1898</v>
      </c>
      <c r="F27" s="16" t="s">
        <v>48</v>
      </c>
      <c r="G27" s="16" t="s">
        <v>335</v>
      </c>
      <c r="H27" s="16" t="s">
        <v>242</v>
      </c>
      <c r="I27" s="16" t="s">
        <v>273</v>
      </c>
      <c r="J27" s="16" t="s">
        <v>274</v>
      </c>
      <c r="K27" s="16" t="s">
        <v>245</v>
      </c>
      <c r="L27" s="16"/>
      <c r="M27" s="16"/>
      <c r="N27" s="18" t="str">
        <f t="shared" si="0"/>
        <v>oeuvres/d-ou-venons-nous-que-sommes-nous-ou.md</v>
      </c>
      <c r="O27" s="16" t="s">
        <v>246</v>
      </c>
      <c r="P27" s="18" t="str">
        <f ca="1">IF(C27="","",IFERROR(INDEX(Artistes!$M$2:$M$301,MATCH(C27,Artistes!$A$2:$A$301,0)),""))</f>
        <v>Oui (à vérifier)</v>
      </c>
      <c r="Q27" s="19" t="s">
        <v>336</v>
      </c>
    </row>
    <row r="28" spans="1:17" ht="25.5" x14ac:dyDescent="0.25">
      <c r="A28" s="16" t="s">
        <v>337</v>
      </c>
      <c r="B28" s="16" t="s">
        <v>338</v>
      </c>
      <c r="C28" s="16" t="s">
        <v>126</v>
      </c>
      <c r="D28" s="18" t="str">
        <f>IF(C28="","",IFERROR(INDEX(Artistes!$B$2:$B$301,MATCH(C28,Artistes!$A$2:$A$301,0)),"ID inconnu"))</f>
        <v>Georges Seurat</v>
      </c>
      <c r="E28" s="16">
        <v>1884</v>
      </c>
      <c r="F28" s="16" t="s">
        <v>48</v>
      </c>
      <c r="G28" s="16"/>
      <c r="H28" s="16" t="s">
        <v>242</v>
      </c>
      <c r="I28" s="16" t="s">
        <v>339</v>
      </c>
      <c r="J28" s="16" t="s">
        <v>303</v>
      </c>
      <c r="K28" s="16"/>
      <c r="L28" s="16"/>
      <c r="M28" s="16"/>
      <c r="N28" s="18" t="str">
        <f t="shared" si="0"/>
        <v>oeuvres/une-baignade-a-asnieres.md</v>
      </c>
      <c r="O28" s="16" t="s">
        <v>246</v>
      </c>
      <c r="P28" s="18" t="str">
        <f ca="1">IF(C28="","",IFERROR(INDEX(Artistes!$M$2:$M$301,MATCH(C28,Artistes!$A$2:$A$301,0)),""))</f>
        <v>Oui (à vérifier)</v>
      </c>
      <c r="Q28" s="19" t="s">
        <v>340</v>
      </c>
    </row>
    <row r="29" spans="1:17" ht="25.5" x14ac:dyDescent="0.25">
      <c r="A29" s="16" t="s">
        <v>341</v>
      </c>
      <c r="B29" s="16" t="s">
        <v>342</v>
      </c>
      <c r="C29" s="16" t="s">
        <v>126</v>
      </c>
      <c r="D29" s="18" t="str">
        <f>IF(C29="","",IFERROR(INDEX(Artistes!$B$2:$B$301,MATCH(C29,Artistes!$A$2:$A$301,0)),"ID inconnu"))</f>
        <v>Georges Seurat</v>
      </c>
      <c r="E29" s="16">
        <v>1886</v>
      </c>
      <c r="F29" s="16" t="s">
        <v>48</v>
      </c>
      <c r="G29" s="16" t="s">
        <v>343</v>
      </c>
      <c r="H29" s="16" t="s">
        <v>242</v>
      </c>
      <c r="I29" s="16" t="s">
        <v>318</v>
      </c>
      <c r="J29" s="16" t="s">
        <v>319</v>
      </c>
      <c r="K29" s="16" t="s">
        <v>245</v>
      </c>
      <c r="L29" s="16"/>
      <c r="M29" s="16"/>
      <c r="N29" s="18" t="str">
        <f t="shared" si="0"/>
        <v>oeuvres/un-dimanche-apres-midi-a-l-ile-de-la.md</v>
      </c>
      <c r="O29" s="16" t="s">
        <v>246</v>
      </c>
      <c r="P29" s="18" t="str">
        <f ca="1">IF(C29="","",IFERROR(INDEX(Artistes!$M$2:$M$301,MATCH(C29,Artistes!$A$2:$A$301,0)),""))</f>
        <v>Oui (à vérifier)</v>
      </c>
      <c r="Q29" s="16"/>
    </row>
    <row r="30" spans="1:17" x14ac:dyDescent="0.25">
      <c r="A30" s="16" t="s">
        <v>344</v>
      </c>
      <c r="B30" s="16" t="s">
        <v>345</v>
      </c>
      <c r="C30" s="16" t="s">
        <v>126</v>
      </c>
      <c r="D30" s="18" t="str">
        <f>IF(C30="","",IFERROR(INDEX(Artistes!$B$2:$B$301,MATCH(C30,Artistes!$A$2:$A$301,0)),"ID inconnu"))</f>
        <v>Georges Seurat</v>
      </c>
      <c r="E30" s="16">
        <v>1891</v>
      </c>
      <c r="F30" s="16" t="s">
        <v>48</v>
      </c>
      <c r="G30" s="16" t="s">
        <v>346</v>
      </c>
      <c r="H30" s="16" t="s">
        <v>242</v>
      </c>
      <c r="I30" s="16" t="s">
        <v>265</v>
      </c>
      <c r="J30" s="16" t="s">
        <v>244</v>
      </c>
      <c r="K30" s="16"/>
      <c r="L30" s="16"/>
      <c r="M30" s="16"/>
      <c r="N30" s="18" t="str">
        <f t="shared" si="0"/>
        <v>oeuvres/le-cirque.md</v>
      </c>
      <c r="O30" s="16" t="s">
        <v>246</v>
      </c>
      <c r="P30" s="18" t="str">
        <f ca="1">IF(C30="","",IFERROR(INDEX(Artistes!$M$2:$M$301,MATCH(C30,Artistes!$A$2:$A$301,0)),""))</f>
        <v>Oui (à vérifier)</v>
      </c>
      <c r="Q30" s="16"/>
    </row>
    <row r="31" spans="1:17" x14ac:dyDescent="0.25">
      <c r="A31" s="16" t="s">
        <v>347</v>
      </c>
      <c r="B31" s="16" t="s">
        <v>348</v>
      </c>
      <c r="C31" s="16" t="s">
        <v>130</v>
      </c>
      <c r="D31" s="18" t="str">
        <f>IF(C31="","",IFERROR(INDEX(Artistes!$B$2:$B$301,MATCH(C31,Artistes!$A$2:$A$301,0)),"ID inconnu"))</f>
        <v>Henri Matisse</v>
      </c>
      <c r="E31" s="16">
        <v>1905</v>
      </c>
      <c r="F31" s="16" t="s">
        <v>54</v>
      </c>
      <c r="G31" s="16"/>
      <c r="H31" s="16" t="s">
        <v>242</v>
      </c>
      <c r="I31" s="16" t="s">
        <v>349</v>
      </c>
      <c r="J31" s="16" t="s">
        <v>350</v>
      </c>
      <c r="K31" s="16"/>
      <c r="L31" s="16"/>
      <c r="M31" s="16"/>
      <c r="N31" s="18" t="str">
        <f t="shared" si="0"/>
        <v>oeuvres/la-femme-au-chapeau.md</v>
      </c>
      <c r="O31" s="16" t="s">
        <v>246</v>
      </c>
      <c r="P31" s="18" t="str">
        <f ca="1">IF(C31="","",IFERROR(INDEX(Artistes!$M$2:$M$301,MATCH(C31,Artistes!$A$2:$A$301,0)),""))</f>
        <v>Oui (à vérifier)</v>
      </c>
      <c r="Q31" s="16"/>
    </row>
    <row r="32" spans="1:17" ht="25.5" x14ac:dyDescent="0.25">
      <c r="A32" s="16" t="s">
        <v>351</v>
      </c>
      <c r="B32" s="16" t="s">
        <v>352</v>
      </c>
      <c r="C32" s="16" t="s">
        <v>130</v>
      </c>
      <c r="D32" s="18" t="str">
        <f>IF(C32="","",IFERROR(INDEX(Artistes!$B$2:$B$301,MATCH(C32,Artistes!$A$2:$A$301,0)),"ID inconnu"))</f>
        <v>Henri Matisse</v>
      </c>
      <c r="E32" s="16">
        <v>1910</v>
      </c>
      <c r="F32" s="16" t="s">
        <v>54</v>
      </c>
      <c r="G32" s="16"/>
      <c r="H32" s="16" t="s">
        <v>242</v>
      </c>
      <c r="I32" s="16" t="s">
        <v>353</v>
      </c>
      <c r="J32" s="16" t="s">
        <v>354</v>
      </c>
      <c r="K32" s="16" t="s">
        <v>245</v>
      </c>
      <c r="L32" s="16"/>
      <c r="M32" s="16"/>
      <c r="N32" s="18" t="str">
        <f t="shared" si="0"/>
        <v>oeuvres/la-danse-matisse.md</v>
      </c>
      <c r="O32" s="16" t="s">
        <v>246</v>
      </c>
      <c r="P32" s="18" t="str">
        <f ca="1">IF(C32="","",IFERROR(INDEX(Artistes!$M$2:$M$301,MATCH(C32,Artistes!$A$2:$A$301,0)),""))</f>
        <v>Oui (à vérifier)</v>
      </c>
      <c r="Q32" s="16"/>
    </row>
    <row r="33" spans="1:17" x14ac:dyDescent="0.25">
      <c r="A33" s="16" t="s">
        <v>355</v>
      </c>
      <c r="B33" s="16" t="s">
        <v>356</v>
      </c>
      <c r="C33" s="16" t="s">
        <v>130</v>
      </c>
      <c r="D33" s="18" t="str">
        <f>IF(C33="","",IFERROR(INDEX(Artistes!$B$2:$B$301,MATCH(C33,Artistes!$A$2:$A$301,0)),"ID inconnu"))</f>
        <v>Henri Matisse</v>
      </c>
      <c r="E33" s="16">
        <v>1911</v>
      </c>
      <c r="F33" s="16" t="s">
        <v>54</v>
      </c>
      <c r="G33" s="16"/>
      <c r="H33" s="16" t="s">
        <v>242</v>
      </c>
      <c r="I33" s="16" t="s">
        <v>310</v>
      </c>
      <c r="J33" s="16" t="s">
        <v>311</v>
      </c>
      <c r="K33" s="16" t="s">
        <v>245</v>
      </c>
      <c r="L33" s="16"/>
      <c r="M33" s="16"/>
      <c r="N33" s="18" t="str">
        <f t="shared" si="0"/>
        <v>oeuvres/l-atelier-rouge.md</v>
      </c>
      <c r="O33" s="16" t="s">
        <v>246</v>
      </c>
      <c r="P33" s="18" t="str">
        <f ca="1">IF(C33="","",IFERROR(INDEX(Artistes!$M$2:$M$301,MATCH(C33,Artistes!$A$2:$A$301,0)),""))</f>
        <v>Oui (à vérifier)</v>
      </c>
      <c r="Q33" s="16"/>
    </row>
    <row r="34" spans="1:17" x14ac:dyDescent="0.25">
      <c r="A34" s="16" t="s">
        <v>357</v>
      </c>
      <c r="B34" s="16" t="s">
        <v>358</v>
      </c>
      <c r="C34" s="16" t="s">
        <v>130</v>
      </c>
      <c r="D34" s="18" t="str">
        <f>IF(C34="","",IFERROR(INDEX(Artistes!$B$2:$B$301,MATCH(C34,Artistes!$A$2:$A$301,0)),"ID inconnu"))</f>
        <v>Henri Matisse</v>
      </c>
      <c r="E34" s="16">
        <v>1925</v>
      </c>
      <c r="F34" s="16" t="s">
        <v>54</v>
      </c>
      <c r="G34" s="16" t="s">
        <v>359</v>
      </c>
      <c r="H34" s="16" t="s">
        <v>242</v>
      </c>
      <c r="I34" s="16"/>
      <c r="J34" s="16"/>
      <c r="K34" s="16"/>
      <c r="L34" s="16"/>
      <c r="M34" s="16"/>
      <c r="N34" s="18" t="str">
        <f t="shared" si="0"/>
        <v>oeuvres/les-odalisques.md</v>
      </c>
      <c r="O34" s="16" t="s">
        <v>246</v>
      </c>
      <c r="P34" s="18" t="str">
        <f ca="1">IF(C34="","",IFERROR(INDEX(Artistes!$M$2:$M$301,MATCH(C34,Artistes!$A$2:$A$301,0)),""))</f>
        <v>Oui (à vérifier)</v>
      </c>
      <c r="Q34" s="19" t="s">
        <v>360</v>
      </c>
    </row>
    <row r="35" spans="1:17" ht="25.5" x14ac:dyDescent="0.25">
      <c r="A35" s="16" t="s">
        <v>361</v>
      </c>
      <c r="B35" s="16" t="s">
        <v>362</v>
      </c>
      <c r="C35" s="16" t="s">
        <v>130</v>
      </c>
      <c r="D35" s="18" t="str">
        <f>IF(C35="","",IFERROR(INDEX(Artistes!$B$2:$B$301,MATCH(C35,Artistes!$A$2:$A$301,0)),"ID inconnu"))</f>
        <v>Henri Matisse</v>
      </c>
      <c r="E35" s="16">
        <v>1947</v>
      </c>
      <c r="F35" s="16" t="s">
        <v>54</v>
      </c>
      <c r="G35" s="16"/>
      <c r="H35" s="16" t="s">
        <v>363</v>
      </c>
      <c r="I35" s="16"/>
      <c r="J35" s="16"/>
      <c r="K35" s="16"/>
      <c r="L35" s="16"/>
      <c r="M35" s="16"/>
      <c r="N35" s="18" t="str">
        <f t="shared" si="0"/>
        <v>oeuvres/jazz.md</v>
      </c>
      <c r="O35" s="16" t="s">
        <v>246</v>
      </c>
      <c r="P35" s="18" t="str">
        <f ca="1">IF(C35="","",IFERROR(INDEX(Artistes!$M$2:$M$301,MATCH(C35,Artistes!$A$2:$A$301,0)),""))</f>
        <v>Oui (à vérifier)</v>
      </c>
      <c r="Q35" s="19" t="s">
        <v>360</v>
      </c>
    </row>
    <row r="36" spans="1:17" ht="25.5" x14ac:dyDescent="0.25">
      <c r="A36" s="16" t="s">
        <v>364</v>
      </c>
      <c r="B36" s="16" t="s">
        <v>365</v>
      </c>
      <c r="C36" s="16" t="s">
        <v>130</v>
      </c>
      <c r="D36" s="18" t="str">
        <f>IF(C36="","",IFERROR(INDEX(Artistes!$B$2:$B$301,MATCH(C36,Artistes!$A$2:$A$301,0)),"ID inconnu"))</f>
        <v>Henri Matisse</v>
      </c>
      <c r="E36" s="16">
        <v>1952</v>
      </c>
      <c r="F36" s="16" t="s">
        <v>54</v>
      </c>
      <c r="G36" s="16" t="s">
        <v>366</v>
      </c>
      <c r="H36" s="16" t="s">
        <v>367</v>
      </c>
      <c r="I36" s="16"/>
      <c r="J36" s="16"/>
      <c r="K36" s="16"/>
      <c r="L36" s="16"/>
      <c r="M36" s="16"/>
      <c r="N36" s="18" t="str">
        <f t="shared" si="0"/>
        <v>oeuvres/nus-bleus.md</v>
      </c>
      <c r="O36" s="16" t="s">
        <v>246</v>
      </c>
      <c r="P36" s="18" t="str">
        <f ca="1">IF(C36="","",IFERROR(INDEX(Artistes!$M$2:$M$301,MATCH(C36,Artistes!$A$2:$A$301,0)),""))</f>
        <v>Oui (à vérifier)</v>
      </c>
      <c r="Q36" s="19" t="s">
        <v>368</v>
      </c>
    </row>
    <row r="37" spans="1:17" ht="25.5" x14ac:dyDescent="0.25">
      <c r="A37" s="16" t="s">
        <v>369</v>
      </c>
      <c r="B37" s="16" t="s">
        <v>370</v>
      </c>
      <c r="C37" s="16" t="s">
        <v>133</v>
      </c>
      <c r="D37" s="18" t="str">
        <f>IF(C37="","",IFERROR(INDEX(Artistes!$B$2:$B$301,MATCH(C37,Artistes!$A$2:$A$301,0)),"ID inconnu"))</f>
        <v>André Derain</v>
      </c>
      <c r="E37" s="16">
        <v>1905</v>
      </c>
      <c r="F37" s="16" t="s">
        <v>54</v>
      </c>
      <c r="G37" s="16"/>
      <c r="H37" s="16" t="s">
        <v>242</v>
      </c>
      <c r="I37" s="16"/>
      <c r="J37" s="16"/>
      <c r="K37" s="16" t="s">
        <v>245</v>
      </c>
      <c r="L37" s="16"/>
      <c r="M37" s="16"/>
      <c r="N37" s="18" t="str">
        <f t="shared" si="0"/>
        <v>oeuvres/bateaux-dans-le-port-de-collioure.md</v>
      </c>
      <c r="O37" s="16" t="s">
        <v>246</v>
      </c>
      <c r="P37" s="18" t="str">
        <f ca="1">IF(C37="","",IFERROR(INDEX(Artistes!$M$2:$M$301,MATCH(C37,Artistes!$A$2:$A$301,0)),""))</f>
        <v>Oui (à vérifier)</v>
      </c>
      <c r="Q37" s="16"/>
    </row>
    <row r="38" spans="1:17" x14ac:dyDescent="0.25">
      <c r="A38" s="16" t="s">
        <v>371</v>
      </c>
      <c r="B38" s="16" t="s">
        <v>372</v>
      </c>
      <c r="C38" s="16" t="s">
        <v>133</v>
      </c>
      <c r="D38" s="18" t="str">
        <f>IF(C38="","",IFERROR(INDEX(Artistes!$B$2:$B$301,MATCH(C38,Artistes!$A$2:$A$301,0)),"ID inconnu"))</f>
        <v>André Derain</v>
      </c>
      <c r="E38" s="16">
        <v>1906</v>
      </c>
      <c r="F38" s="16" t="s">
        <v>54</v>
      </c>
      <c r="G38" s="16"/>
      <c r="H38" s="16" t="s">
        <v>242</v>
      </c>
      <c r="I38" s="16"/>
      <c r="J38" s="16"/>
      <c r="K38" s="16"/>
      <c r="L38" s="16"/>
      <c r="M38" s="16"/>
      <c r="N38" s="18" t="str">
        <f t="shared" si="0"/>
        <v>oeuvres/big-ben.md</v>
      </c>
      <c r="O38" s="16" t="s">
        <v>246</v>
      </c>
      <c r="P38" s="18" t="str">
        <f ca="1">IF(C38="","",IFERROR(INDEX(Artistes!$M$2:$M$301,MATCH(C38,Artistes!$A$2:$A$301,0)),""))</f>
        <v>Oui (à vérifier)</v>
      </c>
      <c r="Q38" s="16"/>
    </row>
    <row r="39" spans="1:17" x14ac:dyDescent="0.25">
      <c r="A39" s="16" t="s">
        <v>373</v>
      </c>
      <c r="B39" s="16" t="s">
        <v>352</v>
      </c>
      <c r="C39" s="16" t="s">
        <v>133</v>
      </c>
      <c r="D39" s="18" t="str">
        <f>IF(C39="","",IFERROR(INDEX(Artistes!$B$2:$B$301,MATCH(C39,Artistes!$A$2:$A$301,0)),"ID inconnu"))</f>
        <v>André Derain</v>
      </c>
      <c r="E39" s="16">
        <v>1906</v>
      </c>
      <c r="F39" s="16" t="s">
        <v>54</v>
      </c>
      <c r="G39" s="16"/>
      <c r="H39" s="16" t="s">
        <v>242</v>
      </c>
      <c r="I39" s="16"/>
      <c r="J39" s="16"/>
      <c r="K39" s="16"/>
      <c r="L39" s="16"/>
      <c r="M39" s="16"/>
      <c r="N39" s="18" t="str">
        <f t="shared" si="0"/>
        <v>oeuvres/la-danse-derain.md</v>
      </c>
      <c r="O39" s="16" t="s">
        <v>246</v>
      </c>
      <c r="P39" s="18" t="str">
        <f ca="1">IF(C39="","",IFERROR(INDEX(Artistes!$M$2:$M$301,MATCH(C39,Artistes!$A$2:$A$301,0)),""))</f>
        <v>Oui (à vérifier)</v>
      </c>
      <c r="Q39" s="16"/>
    </row>
    <row r="40" spans="1:17" ht="25.5" hidden="1" x14ac:dyDescent="0.25">
      <c r="A40" s="16" t="s">
        <v>374</v>
      </c>
      <c r="B40" s="16" t="s">
        <v>375</v>
      </c>
      <c r="C40" s="16" t="s">
        <v>136</v>
      </c>
      <c r="D40" s="18" t="str">
        <f>IF(C40="","",IFERROR(INDEX(Artistes!$B$2:$B$301,MATCH(C40,Artistes!$A$2:$A$301,0)),"ID inconnu"))</f>
        <v>Maurice de Vlaminck</v>
      </c>
      <c r="E40" s="16">
        <v>1905</v>
      </c>
      <c r="F40" s="16" t="s">
        <v>54</v>
      </c>
      <c r="G40" s="16"/>
      <c r="H40" s="16" t="s">
        <v>242</v>
      </c>
      <c r="I40" s="16" t="s">
        <v>265</v>
      </c>
      <c r="J40" s="16" t="s">
        <v>244</v>
      </c>
      <c r="K40" s="16" t="s">
        <v>245</v>
      </c>
      <c r="L40" s="16"/>
      <c r="M40" s="16"/>
      <c r="N40" s="18" t="str">
        <f t="shared" si="0"/>
        <v>oeuvres/restaurant-de-la-machine-a-bougival.md</v>
      </c>
      <c r="O40" s="16" t="s">
        <v>246</v>
      </c>
      <c r="P40" s="18" t="str">
        <f ca="1">IF(C40="","",IFERROR(INDEX(Artistes!$M$2:$M$301,MATCH(C40,Artistes!$A$2:$A$301,0)),""))</f>
        <v>Non</v>
      </c>
      <c r="Q40" s="16"/>
    </row>
    <row r="41" spans="1:17" hidden="1" x14ac:dyDescent="0.25">
      <c r="A41" s="16" t="s">
        <v>376</v>
      </c>
      <c r="B41" s="16" t="s">
        <v>377</v>
      </c>
      <c r="C41" s="16" t="s">
        <v>136</v>
      </c>
      <c r="D41" s="18" t="str">
        <f>IF(C41="","",IFERROR(INDEX(Artistes!$B$2:$B$301,MATCH(C41,Artistes!$A$2:$A$301,0)),"ID inconnu"))</f>
        <v>Maurice de Vlaminck</v>
      </c>
      <c r="E41" s="16">
        <v>1906</v>
      </c>
      <c r="F41" s="16" t="s">
        <v>54</v>
      </c>
      <c r="G41" s="16"/>
      <c r="H41" s="16" t="s">
        <v>242</v>
      </c>
      <c r="I41" s="16"/>
      <c r="J41" s="16"/>
      <c r="K41" s="16"/>
      <c r="L41" s="16"/>
      <c r="M41" s="16"/>
      <c r="N41" s="18" t="str">
        <f t="shared" si="0"/>
        <v>oeuvres/la-seine-a-chatou.md</v>
      </c>
      <c r="O41" s="16" t="s">
        <v>246</v>
      </c>
      <c r="P41" s="18" t="str">
        <f ca="1">IF(C41="","",IFERROR(INDEX(Artistes!$M$2:$M$301,MATCH(C41,Artistes!$A$2:$A$301,0)),""))</f>
        <v>Non</v>
      </c>
      <c r="Q41" s="16"/>
    </row>
    <row r="42" spans="1:17" hidden="1" x14ac:dyDescent="0.25">
      <c r="A42" s="16" t="s">
        <v>378</v>
      </c>
      <c r="B42" s="16" t="s">
        <v>379</v>
      </c>
      <c r="C42" s="16" t="s">
        <v>136</v>
      </c>
      <c r="D42" s="18" t="str">
        <f>IF(C42="","",IFERROR(INDEX(Artistes!$B$2:$B$301,MATCH(C42,Artistes!$A$2:$A$301,0)),"ID inconnu"))</f>
        <v>Maurice de Vlaminck</v>
      </c>
      <c r="E42" s="16">
        <v>1912</v>
      </c>
      <c r="F42" s="16" t="s">
        <v>54</v>
      </c>
      <c r="G42" s="16"/>
      <c r="H42" s="16" t="s">
        <v>242</v>
      </c>
      <c r="I42" s="16"/>
      <c r="J42" s="16"/>
      <c r="K42" s="16"/>
      <c r="L42" s="16"/>
      <c r="M42" s="16"/>
      <c r="N42" s="18" t="str">
        <f t="shared" si="0"/>
        <v>oeuvres/bords-de-seine.md</v>
      </c>
      <c r="O42" s="16" t="s">
        <v>246</v>
      </c>
      <c r="P42" s="18" t="str">
        <f ca="1">IF(C42="","",IFERROR(INDEX(Artistes!$M$2:$M$301,MATCH(C42,Artistes!$A$2:$A$301,0)),""))</f>
        <v>Non</v>
      </c>
      <c r="Q42" s="19" t="s">
        <v>380</v>
      </c>
    </row>
    <row r="43" spans="1:17" ht="25.5" hidden="1" x14ac:dyDescent="0.25">
      <c r="A43" s="16" t="s">
        <v>381</v>
      </c>
      <c r="B43" s="16" t="s">
        <v>382</v>
      </c>
      <c r="C43" s="16" t="s">
        <v>139</v>
      </c>
      <c r="D43" s="18" t="str">
        <f>IF(C43="","",IFERROR(INDEX(Artistes!$B$2:$B$301,MATCH(C43,Artistes!$A$2:$A$301,0)),"ID inconnu"))</f>
        <v>Pablo Picasso</v>
      </c>
      <c r="E43" s="16">
        <v>1907</v>
      </c>
      <c r="F43" s="16" t="s">
        <v>58</v>
      </c>
      <c r="G43" s="16"/>
      <c r="H43" s="16" t="s">
        <v>242</v>
      </c>
      <c r="I43" s="16" t="s">
        <v>310</v>
      </c>
      <c r="J43" s="16" t="s">
        <v>311</v>
      </c>
      <c r="K43" s="16" t="s">
        <v>245</v>
      </c>
      <c r="L43" s="16"/>
      <c r="M43" s="16"/>
      <c r="N43" s="18" t="str">
        <f t="shared" si="0"/>
        <v>oeuvres/les-demoiselles-d-avignon.md</v>
      </c>
      <c r="O43" s="16" t="s">
        <v>246</v>
      </c>
      <c r="P43" s="18" t="str">
        <f ca="1">IF(C43="","",IFERROR(INDEX(Artistes!$M$2:$M$301,MATCH(C43,Artistes!$A$2:$A$301,0)),""))</f>
        <v>Non</v>
      </c>
      <c r="Q43" s="16"/>
    </row>
    <row r="44" spans="1:17" ht="25.5" hidden="1" x14ac:dyDescent="0.25">
      <c r="A44" s="16" t="s">
        <v>383</v>
      </c>
      <c r="B44" s="16" t="s">
        <v>384</v>
      </c>
      <c r="C44" s="16" t="s">
        <v>139</v>
      </c>
      <c r="D44" s="18" t="str">
        <f>IF(C44="","",IFERROR(INDEX(Artistes!$B$2:$B$301,MATCH(C44,Artistes!$A$2:$A$301,0)),"ID inconnu"))</f>
        <v>Pablo Picasso</v>
      </c>
      <c r="E44" s="16">
        <v>1937</v>
      </c>
      <c r="F44" s="16" t="s">
        <v>58</v>
      </c>
      <c r="G44" s="16"/>
      <c r="H44" s="16" t="s">
        <v>242</v>
      </c>
      <c r="I44" s="16" t="s">
        <v>385</v>
      </c>
      <c r="J44" s="16" t="s">
        <v>386</v>
      </c>
      <c r="K44" s="16"/>
      <c r="L44" s="16"/>
      <c r="M44" s="16"/>
      <c r="N44" s="18" t="str">
        <f t="shared" si="0"/>
        <v>oeuvres/guernica.md</v>
      </c>
      <c r="O44" s="16" t="s">
        <v>246</v>
      </c>
      <c r="P44" s="18" t="str">
        <f ca="1">IF(C44="","",IFERROR(INDEX(Artistes!$M$2:$M$301,MATCH(C44,Artistes!$A$2:$A$301,0)),""))</f>
        <v>Non</v>
      </c>
      <c r="Q44" s="19" t="s">
        <v>387</v>
      </c>
    </row>
    <row r="45" spans="1:17" hidden="1" x14ac:dyDescent="0.25">
      <c r="A45" s="16" t="s">
        <v>388</v>
      </c>
      <c r="B45" s="16" t="s">
        <v>389</v>
      </c>
      <c r="C45" s="16" t="s">
        <v>139</v>
      </c>
      <c r="D45" s="18" t="str">
        <f>IF(C45="","",IFERROR(INDEX(Artistes!$B$2:$B$301,MATCH(C45,Artistes!$A$2:$A$301,0)),"ID inconnu"))</f>
        <v>Pablo Picasso</v>
      </c>
      <c r="E45" s="16">
        <v>1937</v>
      </c>
      <c r="F45" s="16" t="s">
        <v>58</v>
      </c>
      <c r="G45" s="16"/>
      <c r="H45" s="16" t="s">
        <v>242</v>
      </c>
      <c r="I45" s="16" t="s">
        <v>390</v>
      </c>
      <c r="J45" s="16" t="s">
        <v>303</v>
      </c>
      <c r="K45" s="16"/>
      <c r="L45" s="16"/>
      <c r="M45" s="16"/>
      <c r="N45" s="18" t="str">
        <f t="shared" si="0"/>
        <v>oeuvres/la-femme-qui-pleure.md</v>
      </c>
      <c r="O45" s="16" t="s">
        <v>246</v>
      </c>
      <c r="P45" s="18" t="str">
        <f ca="1">IF(C45="","",IFERROR(INDEX(Artistes!$M$2:$M$301,MATCH(C45,Artistes!$A$2:$A$301,0)),""))</f>
        <v>Non</v>
      </c>
      <c r="Q45" s="19" t="s">
        <v>391</v>
      </c>
    </row>
    <row r="46" spans="1:17" hidden="1" x14ac:dyDescent="0.25">
      <c r="A46" s="16" t="s">
        <v>392</v>
      </c>
      <c r="B46" s="16" t="s">
        <v>393</v>
      </c>
      <c r="C46" s="16" t="s">
        <v>139</v>
      </c>
      <c r="D46" s="18" t="str">
        <f>IF(C46="","",IFERROR(INDEX(Artistes!$B$2:$B$301,MATCH(C46,Artistes!$A$2:$A$301,0)),"ID inconnu"))</f>
        <v>Pablo Picasso</v>
      </c>
      <c r="E46" s="16">
        <v>1941</v>
      </c>
      <c r="F46" s="16" t="s">
        <v>58</v>
      </c>
      <c r="G46" s="16"/>
      <c r="H46" s="16" t="s">
        <v>242</v>
      </c>
      <c r="I46" s="16" t="s">
        <v>394</v>
      </c>
      <c r="J46" s="16"/>
      <c r="K46" s="16" t="s">
        <v>245</v>
      </c>
      <c r="L46" s="16"/>
      <c r="M46" s="16"/>
      <c r="N46" s="18" t="str">
        <f t="shared" si="0"/>
        <v>oeuvres/dora-maar-au-chat.md</v>
      </c>
      <c r="O46" s="16" t="s">
        <v>246</v>
      </c>
      <c r="P46" s="18" t="str">
        <f ca="1">IF(C46="","",IFERROR(INDEX(Artistes!$M$2:$M$301,MATCH(C46,Artistes!$A$2:$A$301,0)),""))</f>
        <v>Non</v>
      </c>
      <c r="Q46" s="19" t="s">
        <v>391</v>
      </c>
    </row>
    <row r="47" spans="1:17" hidden="1" x14ac:dyDescent="0.25">
      <c r="A47" s="16" t="s">
        <v>395</v>
      </c>
      <c r="B47" s="16" t="s">
        <v>396</v>
      </c>
      <c r="C47" s="16" t="s">
        <v>144</v>
      </c>
      <c r="D47" s="18" t="str">
        <f>IF(C47="","",IFERROR(INDEX(Artistes!$B$2:$B$301,MATCH(C47,Artistes!$A$2:$A$301,0)),"ID inconnu"))</f>
        <v>Georges Braque</v>
      </c>
      <c r="E47" s="16">
        <v>1908</v>
      </c>
      <c r="F47" s="16" t="s">
        <v>58</v>
      </c>
      <c r="G47" s="16"/>
      <c r="H47" s="16" t="s">
        <v>242</v>
      </c>
      <c r="I47" s="16"/>
      <c r="J47" s="16"/>
      <c r="K47" s="16"/>
      <c r="L47" s="16"/>
      <c r="M47" s="16"/>
      <c r="N47" s="18" t="str">
        <f t="shared" si="0"/>
        <v>oeuvres/maisons-a-l-estaque.md</v>
      </c>
      <c r="O47" s="16" t="s">
        <v>246</v>
      </c>
      <c r="P47" s="18" t="str">
        <f ca="1">IF(C47="","",IFERROR(INDEX(Artistes!$M$2:$M$301,MATCH(C47,Artistes!$A$2:$A$301,0)),""))</f>
        <v>Non</v>
      </c>
      <c r="Q47" s="16"/>
    </row>
    <row r="48" spans="1:17" hidden="1" x14ac:dyDescent="0.25">
      <c r="A48" s="16" t="s">
        <v>397</v>
      </c>
      <c r="B48" s="16" t="s">
        <v>398</v>
      </c>
      <c r="C48" s="16" t="s">
        <v>144</v>
      </c>
      <c r="D48" s="18" t="str">
        <f>IF(C48="","",IFERROR(INDEX(Artistes!$B$2:$B$301,MATCH(C48,Artistes!$A$2:$A$301,0)),"ID inconnu"))</f>
        <v>Georges Braque</v>
      </c>
      <c r="E48" s="16">
        <v>1911</v>
      </c>
      <c r="F48" s="16" t="s">
        <v>58</v>
      </c>
      <c r="G48" s="16"/>
      <c r="H48" s="16" t="s">
        <v>242</v>
      </c>
      <c r="I48" s="16" t="s">
        <v>399</v>
      </c>
      <c r="J48" s="16" t="s">
        <v>400</v>
      </c>
      <c r="K48" s="16" t="s">
        <v>245</v>
      </c>
      <c r="L48" s="16"/>
      <c r="M48" s="16"/>
      <c r="N48" s="18" t="str">
        <f t="shared" si="0"/>
        <v>oeuvres/le-portugais.md</v>
      </c>
      <c r="O48" s="16" t="s">
        <v>246</v>
      </c>
      <c r="P48" s="18" t="str">
        <f ca="1">IF(C48="","",IFERROR(INDEX(Artistes!$M$2:$M$301,MATCH(C48,Artistes!$A$2:$A$301,0)),""))</f>
        <v>Non</v>
      </c>
      <c r="Q48" s="16"/>
    </row>
    <row r="49" spans="1:17" hidden="1" x14ac:dyDescent="0.25">
      <c r="A49" s="16" t="s">
        <v>401</v>
      </c>
      <c r="B49" s="16" t="s">
        <v>402</v>
      </c>
      <c r="C49" s="16" t="s">
        <v>144</v>
      </c>
      <c r="D49" s="18" t="str">
        <f>IF(C49="","",IFERROR(INDEX(Artistes!$B$2:$B$301,MATCH(C49,Artistes!$A$2:$A$301,0)),"ID inconnu"))</f>
        <v>Georges Braque</v>
      </c>
      <c r="E49" s="16">
        <v>1912</v>
      </c>
      <c r="F49" s="16" t="s">
        <v>58</v>
      </c>
      <c r="G49" s="16" t="s">
        <v>403</v>
      </c>
      <c r="H49" s="16" t="s">
        <v>242</v>
      </c>
      <c r="I49" s="16" t="s">
        <v>310</v>
      </c>
      <c r="J49" s="16" t="s">
        <v>311</v>
      </c>
      <c r="K49" s="16"/>
      <c r="L49" s="16"/>
      <c r="M49" s="16"/>
      <c r="N49" s="18" t="str">
        <f t="shared" si="0"/>
        <v>oeuvres/l-homme-a-la-guitare.md</v>
      </c>
      <c r="O49" s="16" t="s">
        <v>246</v>
      </c>
      <c r="P49" s="18" t="str">
        <f ca="1">IF(C49="","",IFERROR(INDEX(Artistes!$M$2:$M$301,MATCH(C49,Artistes!$A$2:$A$301,0)),""))</f>
        <v>Non</v>
      </c>
      <c r="Q49" s="16"/>
    </row>
    <row r="50" spans="1:17" hidden="1" x14ac:dyDescent="0.25">
      <c r="A50" s="16" t="s">
        <v>404</v>
      </c>
      <c r="B50" s="16" t="s">
        <v>405</v>
      </c>
      <c r="C50" s="16" t="s">
        <v>144</v>
      </c>
      <c r="D50" s="18" t="str">
        <f>IF(C50="","",IFERROR(INDEX(Artistes!$B$2:$B$301,MATCH(C50,Artistes!$A$2:$A$301,0)),"ID inconnu"))</f>
        <v>Georges Braque</v>
      </c>
      <c r="E50" s="16">
        <v>1953</v>
      </c>
      <c r="F50" s="16" t="s">
        <v>58</v>
      </c>
      <c r="G50" s="16"/>
      <c r="H50" s="16" t="s">
        <v>406</v>
      </c>
      <c r="I50" s="16" t="s">
        <v>407</v>
      </c>
      <c r="J50" s="16" t="s">
        <v>244</v>
      </c>
      <c r="K50" s="16"/>
      <c r="L50" s="16"/>
      <c r="M50" s="16"/>
      <c r="N50" s="18" t="str">
        <f t="shared" si="0"/>
        <v>oeuvres/les-oiseaux.md</v>
      </c>
      <c r="O50" s="16" t="s">
        <v>246</v>
      </c>
      <c r="P50" s="18" t="str">
        <f ca="1">IF(C50="","",IFERROR(INDEX(Artistes!$M$2:$M$301,MATCH(C50,Artistes!$A$2:$A$301,0)),""))</f>
        <v>Non</v>
      </c>
      <c r="Q50" s="19" t="s">
        <v>391</v>
      </c>
    </row>
    <row r="51" spans="1:17" ht="25.5" x14ac:dyDescent="0.25">
      <c r="A51" s="16" t="s">
        <v>408</v>
      </c>
      <c r="B51" s="16" t="s">
        <v>409</v>
      </c>
      <c r="C51" s="16" t="s">
        <v>147</v>
      </c>
      <c r="D51" s="18" t="str">
        <f>IF(C51="","",IFERROR(INDEX(Artistes!$B$2:$B$301,MATCH(C51,Artistes!$A$2:$A$301,0)),"ID inconnu"))</f>
        <v>Juan Gris</v>
      </c>
      <c r="E51" s="16">
        <v>1912</v>
      </c>
      <c r="F51" s="16" t="s">
        <v>58</v>
      </c>
      <c r="G51" s="16"/>
      <c r="H51" s="16" t="s">
        <v>242</v>
      </c>
      <c r="I51" s="16" t="s">
        <v>318</v>
      </c>
      <c r="J51" s="16" t="s">
        <v>319</v>
      </c>
      <c r="K51" s="16"/>
      <c r="L51" s="16"/>
      <c r="M51" s="16"/>
      <c r="N51" s="18" t="str">
        <f t="shared" si="0"/>
        <v>oeuvres/portrait-de-pablo-picasso.md</v>
      </c>
      <c r="O51" s="16" t="s">
        <v>246</v>
      </c>
      <c r="P51" s="18" t="str">
        <f ca="1">IF(C51="","",IFERROR(INDEX(Artistes!$M$2:$M$301,MATCH(C51,Artistes!$A$2:$A$301,0)),""))</f>
        <v>Oui (à vérifier)</v>
      </c>
      <c r="Q51" s="16"/>
    </row>
    <row r="52" spans="1:17" x14ac:dyDescent="0.25">
      <c r="A52" s="16" t="s">
        <v>410</v>
      </c>
      <c r="B52" s="16" t="s">
        <v>411</v>
      </c>
      <c r="C52" s="16" t="s">
        <v>147</v>
      </c>
      <c r="D52" s="18" t="str">
        <f>IF(C52="","",IFERROR(INDEX(Artistes!$B$2:$B$301,MATCH(C52,Artistes!$A$2:$A$301,0)),"ID inconnu"))</f>
        <v>Juan Gris</v>
      </c>
      <c r="E52" s="16">
        <v>1912</v>
      </c>
      <c r="F52" s="16" t="s">
        <v>58</v>
      </c>
      <c r="G52" s="16"/>
      <c r="H52" s="16" t="s">
        <v>242</v>
      </c>
      <c r="I52" s="16" t="s">
        <v>326</v>
      </c>
      <c r="J52" s="16" t="s">
        <v>327</v>
      </c>
      <c r="K52" s="16"/>
      <c r="L52" s="16"/>
      <c r="M52" s="16"/>
      <c r="N52" s="18" t="str">
        <f t="shared" si="0"/>
        <v>oeuvres/l-homme-au-cafe.md</v>
      </c>
      <c r="O52" s="16" t="s">
        <v>246</v>
      </c>
      <c r="P52" s="18" t="str">
        <f ca="1">IF(C52="","",IFERROR(INDEX(Artistes!$M$2:$M$301,MATCH(C52,Artistes!$A$2:$A$301,0)),""))</f>
        <v>Oui (à vérifier)</v>
      </c>
      <c r="Q52" s="19" t="s">
        <v>412</v>
      </c>
    </row>
    <row r="53" spans="1:17" ht="25.5" x14ac:dyDescent="0.25">
      <c r="A53" s="16" t="s">
        <v>413</v>
      </c>
      <c r="B53" s="16" t="s">
        <v>414</v>
      </c>
      <c r="C53" s="16" t="s">
        <v>147</v>
      </c>
      <c r="D53" s="18" t="str">
        <f>IF(C53="","",IFERROR(INDEX(Artistes!$B$2:$B$301,MATCH(C53,Artistes!$A$2:$A$301,0)),"ID inconnu"))</f>
        <v>Juan Gris</v>
      </c>
      <c r="E53" s="16">
        <v>1915</v>
      </c>
      <c r="F53" s="16" t="s">
        <v>58</v>
      </c>
      <c r="G53" s="16"/>
      <c r="H53" s="16" t="s">
        <v>242</v>
      </c>
      <c r="I53" s="16"/>
      <c r="J53" s="16"/>
      <c r="K53" s="16" t="s">
        <v>245</v>
      </c>
      <c r="L53" s="16"/>
      <c r="M53" s="16"/>
      <c r="N53" s="18" t="str">
        <f t="shared" si="0"/>
        <v>oeuvres/nature-morte-a-la-nappe-a-carreaux.md</v>
      </c>
      <c r="O53" s="16" t="s">
        <v>246</v>
      </c>
      <c r="P53" s="18" t="str">
        <f ca="1">IF(C53="","",IFERROR(INDEX(Artistes!$M$2:$M$301,MATCH(C53,Artistes!$A$2:$A$301,0)),""))</f>
        <v>Oui (à vérifier)</v>
      </c>
      <c r="Q53" s="16"/>
    </row>
    <row r="54" spans="1:17" x14ac:dyDescent="0.25">
      <c r="A54" s="16" t="s">
        <v>415</v>
      </c>
      <c r="B54" s="16" t="s">
        <v>416</v>
      </c>
      <c r="C54" s="16" t="s">
        <v>150</v>
      </c>
      <c r="D54" s="18" t="str">
        <f>IF(C54="","",IFERROR(INDEX(Artistes!$B$2:$B$301,MATCH(C54,Artistes!$A$2:$A$301,0)),"ID inconnu"))</f>
        <v>Ernst Ludwig Kirchner</v>
      </c>
      <c r="E54" s="16">
        <v>1913</v>
      </c>
      <c r="F54" s="16" t="s">
        <v>62</v>
      </c>
      <c r="G54" s="16"/>
      <c r="H54" s="16" t="s">
        <v>242</v>
      </c>
      <c r="I54" s="16" t="s">
        <v>417</v>
      </c>
      <c r="J54" s="16" t="s">
        <v>311</v>
      </c>
      <c r="K54" s="16" t="s">
        <v>245</v>
      </c>
      <c r="L54" s="16"/>
      <c r="M54" s="16"/>
      <c r="N54" s="18" t="str">
        <f t="shared" si="0"/>
        <v>oeuvres/scene-de-rue-a-berlin.md</v>
      </c>
      <c r="O54" s="16" t="s">
        <v>246</v>
      </c>
      <c r="P54" s="18" t="str">
        <f ca="1">IF(C54="","",IFERROR(INDEX(Artistes!$M$2:$M$301,MATCH(C54,Artistes!$A$2:$A$301,0)),""))</f>
        <v>Oui (à vérifier)</v>
      </c>
      <c r="Q54" s="16"/>
    </row>
    <row r="55" spans="1:17" x14ac:dyDescent="0.25">
      <c r="A55" s="16" t="s">
        <v>418</v>
      </c>
      <c r="B55" s="16" t="s">
        <v>419</v>
      </c>
      <c r="C55" s="16" t="s">
        <v>150</v>
      </c>
      <c r="D55" s="18" t="str">
        <f>IF(C55="","",IFERROR(INDEX(Artistes!$B$2:$B$301,MATCH(C55,Artistes!$A$2:$A$301,0)),"ID inconnu"))</f>
        <v>Ernst Ludwig Kirchner</v>
      </c>
      <c r="E55" s="16">
        <v>1915</v>
      </c>
      <c r="F55" s="16" t="s">
        <v>62</v>
      </c>
      <c r="G55" s="16"/>
      <c r="H55" s="16" t="s">
        <v>242</v>
      </c>
      <c r="I55" s="16" t="s">
        <v>420</v>
      </c>
      <c r="J55" s="16" t="s">
        <v>421</v>
      </c>
      <c r="K55" s="16" t="s">
        <v>245</v>
      </c>
      <c r="L55" s="16"/>
      <c r="M55" s="16"/>
      <c r="N55" s="18" t="str">
        <f t="shared" si="0"/>
        <v>oeuvres/autoportrait-en-soldat.md</v>
      </c>
      <c r="O55" s="16" t="s">
        <v>246</v>
      </c>
      <c r="P55" s="18" t="str">
        <f ca="1">IF(C55="","",IFERROR(INDEX(Artistes!$M$2:$M$301,MATCH(C55,Artistes!$A$2:$A$301,0)),""))</f>
        <v>Oui (à vérifier)</v>
      </c>
      <c r="Q55" s="16"/>
    </row>
    <row r="56" spans="1:17" ht="25.5" x14ac:dyDescent="0.25">
      <c r="A56" s="16" t="s">
        <v>422</v>
      </c>
      <c r="B56" s="16" t="s">
        <v>423</v>
      </c>
      <c r="C56" s="16" t="s">
        <v>150</v>
      </c>
      <c r="D56" s="18" t="str">
        <f>IF(C56="","",IFERROR(INDEX(Artistes!$B$2:$B$301,MATCH(C56,Artistes!$A$2:$A$301,0)),"ID inconnu"))</f>
        <v>Ernst Ludwig Kirchner</v>
      </c>
      <c r="E56" s="16">
        <v>1926</v>
      </c>
      <c r="F56" s="16" t="s">
        <v>62</v>
      </c>
      <c r="G56" s="16"/>
      <c r="H56" s="16" t="s">
        <v>242</v>
      </c>
      <c r="I56" s="16"/>
      <c r="J56" s="16"/>
      <c r="K56" s="16"/>
      <c r="L56" s="16"/>
      <c r="M56" s="16"/>
      <c r="N56" s="18" t="str">
        <f t="shared" si="0"/>
        <v>oeuvres/vallee-de-sertig-en-automne.md</v>
      </c>
      <c r="O56" s="16" t="s">
        <v>246</v>
      </c>
      <c r="P56" s="18" t="str">
        <f ca="1">IF(C56="","",IFERROR(INDEX(Artistes!$M$2:$M$301,MATCH(C56,Artistes!$A$2:$A$301,0)),""))</f>
        <v>Oui (à vérifier)</v>
      </c>
      <c r="Q56" s="16"/>
    </row>
    <row r="57" spans="1:17" ht="25.5" hidden="1" x14ac:dyDescent="0.25">
      <c r="A57" s="16" t="s">
        <v>424</v>
      </c>
      <c r="B57" s="16" t="s">
        <v>425</v>
      </c>
      <c r="C57" s="16" t="s">
        <v>155</v>
      </c>
      <c r="D57" s="18" t="str">
        <f>IF(C57="","",IFERROR(INDEX(Artistes!$B$2:$B$301,MATCH(C57,Artistes!$A$2:$A$301,0)),"ID inconnu"))</f>
        <v>Emil Nolde</v>
      </c>
      <c r="E57" s="16">
        <v>1912</v>
      </c>
      <c r="F57" s="16" t="s">
        <v>62</v>
      </c>
      <c r="G57" s="16" t="s">
        <v>403</v>
      </c>
      <c r="H57" s="16" t="s">
        <v>426</v>
      </c>
      <c r="I57" s="16"/>
      <c r="J57" s="16"/>
      <c r="K57" s="16" t="s">
        <v>245</v>
      </c>
      <c r="L57" s="16"/>
      <c r="M57" s="16"/>
      <c r="N57" s="18" t="str">
        <f t="shared" si="0"/>
        <v>oeuvres/la-vie-du-christ.md</v>
      </c>
      <c r="O57" s="16" t="s">
        <v>246</v>
      </c>
      <c r="P57" s="18" t="str">
        <f ca="1">IF(C57="","",IFERROR(INDEX(Artistes!$M$2:$M$301,MATCH(C57,Artistes!$A$2:$A$301,0)),""))</f>
        <v>Non</v>
      </c>
      <c r="Q57" s="16"/>
    </row>
    <row r="58" spans="1:17" ht="25.5" hidden="1" x14ac:dyDescent="0.25">
      <c r="A58" s="16" t="s">
        <v>427</v>
      </c>
      <c r="B58" s="16" t="s">
        <v>428</v>
      </c>
      <c r="C58" s="16" t="s">
        <v>155</v>
      </c>
      <c r="D58" s="18" t="str">
        <f>IF(C58="","",IFERROR(INDEX(Artistes!$B$2:$B$301,MATCH(C58,Artistes!$A$2:$A$301,0)),"ID inconnu"))</f>
        <v>Emil Nolde</v>
      </c>
      <c r="E58" s="16">
        <v>1930</v>
      </c>
      <c r="F58" s="16" t="s">
        <v>62</v>
      </c>
      <c r="G58" s="16"/>
      <c r="H58" s="16" t="s">
        <v>242</v>
      </c>
      <c r="I58" s="16"/>
      <c r="J58" s="16"/>
      <c r="K58" s="16"/>
      <c r="L58" s="16"/>
      <c r="M58" s="16"/>
      <c r="N58" s="18" t="str">
        <f t="shared" si="0"/>
        <v>oeuvres/mer-agitee-stormy-sea.md</v>
      </c>
      <c r="O58" s="16" t="s">
        <v>246</v>
      </c>
      <c r="P58" s="18" t="str">
        <f ca="1">IF(C58="","",IFERROR(INDEX(Artistes!$M$2:$M$301,MATCH(C58,Artistes!$A$2:$A$301,0)),""))</f>
        <v>Non</v>
      </c>
      <c r="Q58" s="19" t="s">
        <v>429</v>
      </c>
    </row>
    <row r="59" spans="1:17" x14ac:dyDescent="0.25">
      <c r="A59" s="16" t="s">
        <v>430</v>
      </c>
      <c r="B59" s="16" t="s">
        <v>431</v>
      </c>
      <c r="C59" s="16" t="s">
        <v>160</v>
      </c>
      <c r="D59" s="18" t="str">
        <f>IF(C59="","",IFERROR(INDEX(Artistes!$B$2:$B$301,MATCH(C59,Artistes!$A$2:$A$301,0)),"ID inconnu"))</f>
        <v>Franz Marc</v>
      </c>
      <c r="E59" s="16">
        <v>1911</v>
      </c>
      <c r="F59" s="16" t="s">
        <v>62</v>
      </c>
      <c r="G59" s="16"/>
      <c r="H59" s="16" t="s">
        <v>242</v>
      </c>
      <c r="I59" s="16" t="s">
        <v>432</v>
      </c>
      <c r="J59" s="16" t="s">
        <v>433</v>
      </c>
      <c r="K59" s="16"/>
      <c r="L59" s="16"/>
      <c r="M59" s="16"/>
      <c r="N59" s="18" t="str">
        <f t="shared" si="0"/>
        <v>oeuvres/cheval-bleu-i.md</v>
      </c>
      <c r="O59" s="16" t="s">
        <v>246</v>
      </c>
      <c r="P59" s="18" t="str">
        <f ca="1">IF(C59="","",IFERROR(INDEX(Artistes!$M$2:$M$301,MATCH(C59,Artistes!$A$2:$A$301,0)),""))</f>
        <v>Oui (à vérifier)</v>
      </c>
      <c r="Q59" s="16"/>
    </row>
    <row r="60" spans="1:17" ht="25.5" x14ac:dyDescent="0.25">
      <c r="A60" s="16" t="s">
        <v>434</v>
      </c>
      <c r="B60" s="16" t="s">
        <v>435</v>
      </c>
      <c r="C60" s="16" t="s">
        <v>160</v>
      </c>
      <c r="D60" s="18" t="str">
        <f>IF(C60="","",IFERROR(INDEX(Artistes!$B$2:$B$301,MATCH(C60,Artistes!$A$2:$A$301,0)),"ID inconnu"))</f>
        <v>Franz Marc</v>
      </c>
      <c r="E60" s="16">
        <v>1911</v>
      </c>
      <c r="F60" s="16" t="s">
        <v>62</v>
      </c>
      <c r="G60" s="16"/>
      <c r="H60" s="16" t="s">
        <v>242</v>
      </c>
      <c r="I60" s="16" t="s">
        <v>436</v>
      </c>
      <c r="J60" s="16" t="s">
        <v>437</v>
      </c>
      <c r="K60" s="16" t="s">
        <v>245</v>
      </c>
      <c r="L60" s="16"/>
      <c r="M60" s="16"/>
      <c r="N60" s="18" t="str">
        <f t="shared" si="0"/>
        <v>oeuvres/les-grands-chevaux-bleus.md</v>
      </c>
      <c r="O60" s="16" t="s">
        <v>246</v>
      </c>
      <c r="P60" s="18" t="str">
        <f ca="1">IF(C60="","",IFERROR(INDEX(Artistes!$M$2:$M$301,MATCH(C60,Artistes!$A$2:$A$301,0)),""))</f>
        <v>Oui (à vérifier)</v>
      </c>
      <c r="Q60" s="19" t="s">
        <v>438</v>
      </c>
    </row>
    <row r="61" spans="1:17" x14ac:dyDescent="0.25">
      <c r="A61" s="16" t="s">
        <v>439</v>
      </c>
      <c r="B61" s="16" t="s">
        <v>440</v>
      </c>
      <c r="C61" s="16" t="s">
        <v>160</v>
      </c>
      <c r="D61" s="18" t="str">
        <f>IF(C61="","",IFERROR(INDEX(Artistes!$B$2:$B$301,MATCH(C61,Artistes!$A$2:$A$301,0)),"ID inconnu"))</f>
        <v>Franz Marc</v>
      </c>
      <c r="E61" s="16">
        <v>1913</v>
      </c>
      <c r="F61" s="16" t="s">
        <v>62</v>
      </c>
      <c r="G61" s="16"/>
      <c r="H61" s="16" t="s">
        <v>242</v>
      </c>
      <c r="I61" s="16" t="s">
        <v>399</v>
      </c>
      <c r="J61" s="16" t="s">
        <v>400</v>
      </c>
      <c r="K61" s="16"/>
      <c r="L61" s="16"/>
      <c r="M61" s="16"/>
      <c r="N61" s="18" t="str">
        <f t="shared" si="0"/>
        <v>oeuvres/destins-d-animaux.md</v>
      </c>
      <c r="O61" s="16" t="s">
        <v>246</v>
      </c>
      <c r="P61" s="18" t="str">
        <f ca="1">IF(C61="","",IFERROR(INDEX(Artistes!$M$2:$M$301,MATCH(C61,Artistes!$A$2:$A$301,0)),""))</f>
        <v>Oui (à vérifier)</v>
      </c>
      <c r="Q61" s="16"/>
    </row>
    <row r="62" spans="1:17" ht="25.5" x14ac:dyDescent="0.25">
      <c r="A62" s="16" t="s">
        <v>441</v>
      </c>
      <c r="B62" s="16" t="s">
        <v>442</v>
      </c>
      <c r="C62" s="16" t="s">
        <v>163</v>
      </c>
      <c r="D62" s="18" t="str">
        <f>IF(C62="","",IFERROR(INDEX(Artistes!$B$2:$B$301,MATCH(C62,Artistes!$A$2:$A$301,0)),"ID inconnu"))</f>
        <v>Vassily Kandinsky</v>
      </c>
      <c r="E62" s="16">
        <v>1910</v>
      </c>
      <c r="F62" s="16" t="s">
        <v>67</v>
      </c>
      <c r="G62" s="16" t="s">
        <v>443</v>
      </c>
      <c r="H62" s="16" t="s">
        <v>444</v>
      </c>
      <c r="I62" s="16" t="s">
        <v>445</v>
      </c>
      <c r="J62" s="16" t="s">
        <v>244</v>
      </c>
      <c r="K62" s="16"/>
      <c r="L62" s="16"/>
      <c r="M62" s="16"/>
      <c r="N62" s="18" t="str">
        <f t="shared" si="0"/>
        <v>oeuvres/sans-titre-premiere-aquarelle.md</v>
      </c>
      <c r="O62" s="16" t="s">
        <v>246</v>
      </c>
      <c r="P62" s="18" t="str">
        <f ca="1">IF(C62="","",IFERROR(INDEX(Artistes!$M$2:$M$301,MATCH(C62,Artistes!$A$2:$A$301,0)),""))</f>
        <v>Oui (à vérifier)</v>
      </c>
      <c r="Q62" s="19" t="s">
        <v>446</v>
      </c>
    </row>
    <row r="63" spans="1:17" x14ac:dyDescent="0.25">
      <c r="A63" s="16" t="s">
        <v>447</v>
      </c>
      <c r="B63" s="16" t="s">
        <v>448</v>
      </c>
      <c r="C63" s="16" t="s">
        <v>163</v>
      </c>
      <c r="D63" s="18" t="str">
        <f>IF(C63="","",IFERROR(INDEX(Artistes!$B$2:$B$301,MATCH(C63,Artistes!$A$2:$A$301,0)),"ID inconnu"))</f>
        <v>Vassily Kandinsky</v>
      </c>
      <c r="E63" s="16">
        <v>1914</v>
      </c>
      <c r="F63" s="16" t="s">
        <v>67</v>
      </c>
      <c r="G63" s="16"/>
      <c r="H63" s="16" t="s">
        <v>242</v>
      </c>
      <c r="I63" s="16"/>
      <c r="J63" s="16"/>
      <c r="K63" s="16"/>
      <c r="L63" s="16"/>
      <c r="M63" s="16"/>
      <c r="N63" s="18" t="str">
        <f t="shared" si="0"/>
        <v>oeuvres/fugue.md</v>
      </c>
      <c r="O63" s="16" t="s">
        <v>246</v>
      </c>
      <c r="P63" s="18" t="str">
        <f ca="1">IF(C63="","",IFERROR(INDEX(Artistes!$M$2:$M$301,MATCH(C63,Artistes!$A$2:$A$301,0)),""))</f>
        <v>Oui (à vérifier)</v>
      </c>
      <c r="Q63" s="16"/>
    </row>
    <row r="64" spans="1:17" x14ac:dyDescent="0.25">
      <c r="A64" s="16" t="s">
        <v>449</v>
      </c>
      <c r="B64" s="16" t="s">
        <v>450</v>
      </c>
      <c r="C64" s="16" t="s">
        <v>163</v>
      </c>
      <c r="D64" s="18" t="str">
        <f>IF(C64="","",IFERROR(INDEX(Artistes!$B$2:$B$301,MATCH(C64,Artistes!$A$2:$A$301,0)),"ID inconnu"))</f>
        <v>Vassily Kandinsky</v>
      </c>
      <c r="E64" s="16">
        <v>1923</v>
      </c>
      <c r="F64" s="16" t="s">
        <v>67</v>
      </c>
      <c r="G64" s="16"/>
      <c r="H64" s="16" t="s">
        <v>242</v>
      </c>
      <c r="I64" s="16" t="s">
        <v>451</v>
      </c>
      <c r="J64" s="16" t="s">
        <v>311</v>
      </c>
      <c r="K64" s="16" t="s">
        <v>245</v>
      </c>
      <c r="L64" s="16"/>
      <c r="M64" s="16"/>
      <c r="N64" s="18" t="str">
        <f t="shared" si="0"/>
        <v>oeuvres/composition-viii.md</v>
      </c>
      <c r="O64" s="16" t="s">
        <v>246</v>
      </c>
      <c r="P64" s="18" t="str">
        <f ca="1">IF(C64="","",IFERROR(INDEX(Artistes!$M$2:$M$301,MATCH(C64,Artistes!$A$2:$A$301,0)),""))</f>
        <v>Oui (à vérifier)</v>
      </c>
      <c r="Q64" s="16"/>
    </row>
    <row r="65" spans="1:17" x14ac:dyDescent="0.25">
      <c r="A65" s="16" t="s">
        <v>452</v>
      </c>
      <c r="B65" s="16" t="s">
        <v>453</v>
      </c>
      <c r="C65" s="16" t="s">
        <v>163</v>
      </c>
      <c r="D65" s="18" t="str">
        <f>IF(C65="","",IFERROR(INDEX(Artistes!$B$2:$B$301,MATCH(C65,Artistes!$A$2:$A$301,0)),"ID inconnu"))</f>
        <v>Vassily Kandinsky</v>
      </c>
      <c r="E65" s="16">
        <v>1925</v>
      </c>
      <c r="F65" s="16" t="s">
        <v>67</v>
      </c>
      <c r="G65" s="16"/>
      <c r="H65" s="16" t="s">
        <v>242</v>
      </c>
      <c r="I65" s="16" t="s">
        <v>445</v>
      </c>
      <c r="J65" s="16" t="s">
        <v>244</v>
      </c>
      <c r="K65" s="16"/>
      <c r="L65" s="16"/>
      <c r="M65" s="16"/>
      <c r="N65" s="18" t="str">
        <f t="shared" si="0"/>
        <v>oeuvres/jaune-rouge-bleu.md</v>
      </c>
      <c r="O65" s="16" t="s">
        <v>246</v>
      </c>
      <c r="P65" s="18" t="str">
        <f ca="1">IF(C65="","",IFERROR(INDEX(Artistes!$M$2:$M$301,MATCH(C65,Artistes!$A$2:$A$301,0)),""))</f>
        <v>Oui (à vérifier)</v>
      </c>
      <c r="Q65" s="16"/>
    </row>
    <row r="66" spans="1:17" ht="25.5" x14ac:dyDescent="0.25">
      <c r="A66" s="16" t="s">
        <v>454</v>
      </c>
      <c r="B66" s="16" t="s">
        <v>455</v>
      </c>
      <c r="C66" s="16" t="s">
        <v>168</v>
      </c>
      <c r="D66" s="18" t="str">
        <f>IF(C66="","",IFERROR(INDEX(Artistes!$B$2:$B$301,MATCH(C66,Artistes!$A$2:$A$301,0)),"ID inconnu"))</f>
        <v>Kasimir Malevitch</v>
      </c>
      <c r="E66" s="16">
        <v>1915</v>
      </c>
      <c r="F66" s="16" t="s">
        <v>67</v>
      </c>
      <c r="G66" s="16"/>
      <c r="H66" s="16" t="s">
        <v>242</v>
      </c>
      <c r="I66" s="16" t="s">
        <v>456</v>
      </c>
      <c r="J66" s="16" t="s">
        <v>457</v>
      </c>
      <c r="K66" s="16" t="s">
        <v>245</v>
      </c>
      <c r="L66" s="16"/>
      <c r="M66" s="16"/>
      <c r="N66" s="18" t="str">
        <f t="shared" ref="N66:N129" si="1">IF(A66="","","oeuvres/"&amp;A66&amp;".md")</f>
        <v>oeuvres/carre-noir-sur-fond-blanc.md</v>
      </c>
      <c r="O66" s="16" t="s">
        <v>246</v>
      </c>
      <c r="P66" s="18" t="str">
        <f ca="1">IF(C66="","",IFERROR(INDEX(Artistes!$M$2:$M$301,MATCH(C66,Artistes!$A$2:$A$301,0)),""))</f>
        <v>Oui (à vérifier)</v>
      </c>
      <c r="Q66" s="16"/>
    </row>
    <row r="67" spans="1:17" x14ac:dyDescent="0.25">
      <c r="A67" s="16" t="s">
        <v>458</v>
      </c>
      <c r="B67" s="16" t="s">
        <v>459</v>
      </c>
      <c r="C67" s="16" t="s">
        <v>168</v>
      </c>
      <c r="D67" s="18" t="str">
        <f>IF(C67="","",IFERROR(INDEX(Artistes!$B$2:$B$301,MATCH(C67,Artistes!$A$2:$A$301,0)),"ID inconnu"))</f>
        <v>Kasimir Malevitch</v>
      </c>
      <c r="E67" s="16">
        <v>1915</v>
      </c>
      <c r="F67" s="16" t="s">
        <v>67</v>
      </c>
      <c r="G67" s="16"/>
      <c r="H67" s="16" t="s">
        <v>242</v>
      </c>
      <c r="I67" s="16" t="s">
        <v>445</v>
      </c>
      <c r="J67" s="16" t="s">
        <v>244</v>
      </c>
      <c r="K67" s="16"/>
      <c r="L67" s="16"/>
      <c r="M67" s="16"/>
      <c r="N67" s="18" t="str">
        <f t="shared" si="1"/>
        <v>oeuvres/croix-noire.md</v>
      </c>
      <c r="O67" s="16" t="s">
        <v>246</v>
      </c>
      <c r="P67" s="18" t="str">
        <f ca="1">IF(C67="","",IFERROR(INDEX(Artistes!$M$2:$M$301,MATCH(C67,Artistes!$A$2:$A$301,0)),""))</f>
        <v>Oui (à vérifier)</v>
      </c>
      <c r="Q67" s="16"/>
    </row>
    <row r="68" spans="1:17" ht="25.5" x14ac:dyDescent="0.25">
      <c r="A68" s="16" t="s">
        <v>460</v>
      </c>
      <c r="B68" s="16" t="s">
        <v>461</v>
      </c>
      <c r="C68" s="16" t="s">
        <v>168</v>
      </c>
      <c r="D68" s="18" t="str">
        <f>IF(C68="","",IFERROR(INDEX(Artistes!$B$2:$B$301,MATCH(C68,Artistes!$A$2:$A$301,0)),"ID inconnu"))</f>
        <v>Kasimir Malevitch</v>
      </c>
      <c r="E68" s="16">
        <v>1915</v>
      </c>
      <c r="F68" s="16" t="s">
        <v>67</v>
      </c>
      <c r="G68" s="16"/>
      <c r="H68" s="16" t="s">
        <v>242</v>
      </c>
      <c r="I68" s="16"/>
      <c r="J68" s="16"/>
      <c r="K68" s="16"/>
      <c r="L68" s="16"/>
      <c r="M68" s="16"/>
      <c r="N68" s="18" t="str">
        <f t="shared" si="1"/>
        <v>oeuvres/composition-suprematiste.md</v>
      </c>
      <c r="O68" s="16" t="s">
        <v>246</v>
      </c>
      <c r="P68" s="18" t="str">
        <f ca="1">IF(C68="","",IFERROR(INDEX(Artistes!$M$2:$M$301,MATCH(C68,Artistes!$A$2:$A$301,0)),""))</f>
        <v>Oui (à vérifier)</v>
      </c>
      <c r="Q68" s="19" t="s">
        <v>462</v>
      </c>
    </row>
    <row r="69" spans="1:17" ht="25.5" x14ac:dyDescent="0.25">
      <c r="A69" s="16" t="s">
        <v>463</v>
      </c>
      <c r="B69" s="16" t="s">
        <v>464</v>
      </c>
      <c r="C69" s="16" t="s">
        <v>168</v>
      </c>
      <c r="D69" s="18" t="str">
        <f>IF(C69="","",IFERROR(INDEX(Artistes!$B$2:$B$301,MATCH(C69,Artistes!$A$2:$A$301,0)),"ID inconnu"))</f>
        <v>Kasimir Malevitch</v>
      </c>
      <c r="E69" s="16">
        <v>1918</v>
      </c>
      <c r="F69" s="16" t="s">
        <v>67</v>
      </c>
      <c r="G69" s="16"/>
      <c r="H69" s="16" t="s">
        <v>242</v>
      </c>
      <c r="I69" s="16" t="s">
        <v>310</v>
      </c>
      <c r="J69" s="16" t="s">
        <v>311</v>
      </c>
      <c r="K69" s="16"/>
      <c r="L69" s="16"/>
      <c r="M69" s="16"/>
      <c r="N69" s="18" t="str">
        <f t="shared" si="1"/>
        <v>oeuvres/carre-blanc-sur-fond-blanc.md</v>
      </c>
      <c r="O69" s="16" t="s">
        <v>246</v>
      </c>
      <c r="P69" s="18" t="str">
        <f ca="1">IF(C69="","",IFERROR(INDEX(Artistes!$M$2:$M$301,MATCH(C69,Artistes!$A$2:$A$301,0)),""))</f>
        <v>Oui (à vérifier)</v>
      </c>
      <c r="Q69" s="16"/>
    </row>
    <row r="70" spans="1:17" x14ac:dyDescent="0.25">
      <c r="A70" s="16" t="s">
        <v>465</v>
      </c>
      <c r="B70" s="16" t="s">
        <v>466</v>
      </c>
      <c r="C70" s="16" t="s">
        <v>172</v>
      </c>
      <c r="D70" s="18" t="str">
        <f>IF(C70="","",IFERROR(INDEX(Artistes!$B$2:$B$301,MATCH(C70,Artistes!$A$2:$A$301,0)),"ID inconnu"))</f>
        <v>Piet Mondrian</v>
      </c>
      <c r="E70" s="16">
        <v>1910</v>
      </c>
      <c r="F70" s="16" t="s">
        <v>67</v>
      </c>
      <c r="G70" s="16" t="s">
        <v>467</v>
      </c>
      <c r="H70" s="16" t="s">
        <v>242</v>
      </c>
      <c r="I70" s="16" t="s">
        <v>468</v>
      </c>
      <c r="J70" s="16" t="s">
        <v>469</v>
      </c>
      <c r="K70" s="16"/>
      <c r="L70" s="16"/>
      <c r="M70" s="16"/>
      <c r="N70" s="18" t="str">
        <f t="shared" si="1"/>
        <v>oeuvres/l-arbre-rouge.md</v>
      </c>
      <c r="O70" s="16" t="s">
        <v>246</v>
      </c>
      <c r="P70" s="18" t="str">
        <f ca="1">IF(C70="","",IFERROR(INDEX(Artistes!$M$2:$M$301,MATCH(C70,Artistes!$A$2:$A$301,0)),""))</f>
        <v>Oui (à vérifier)</v>
      </c>
      <c r="Q70" s="16"/>
    </row>
    <row r="71" spans="1:17" ht="25.5" x14ac:dyDescent="0.25">
      <c r="A71" s="16" t="s">
        <v>470</v>
      </c>
      <c r="B71" s="16" t="s">
        <v>471</v>
      </c>
      <c r="C71" s="16" t="s">
        <v>172</v>
      </c>
      <c r="D71" s="18" t="str">
        <f>IF(C71="","",IFERROR(INDEX(Artistes!$B$2:$B$301,MATCH(C71,Artistes!$A$2:$A$301,0)),"ID inconnu"))</f>
        <v>Piet Mondrian</v>
      </c>
      <c r="E71" s="16">
        <v>1930</v>
      </c>
      <c r="F71" s="16" t="s">
        <v>67</v>
      </c>
      <c r="G71" s="16"/>
      <c r="H71" s="16" t="s">
        <v>242</v>
      </c>
      <c r="I71" s="16" t="s">
        <v>472</v>
      </c>
      <c r="J71" s="16" t="s">
        <v>473</v>
      </c>
      <c r="K71" s="16" t="s">
        <v>245</v>
      </c>
      <c r="L71" s="16"/>
      <c r="M71" s="16"/>
      <c r="N71" s="18" t="str">
        <f t="shared" si="1"/>
        <v>oeuvres/composition-en-rouge-bleu-et-jaune.md</v>
      </c>
      <c r="O71" s="16" t="s">
        <v>246</v>
      </c>
      <c r="P71" s="18" t="str">
        <f ca="1">IF(C71="","",IFERROR(INDEX(Artistes!$M$2:$M$301,MATCH(C71,Artistes!$A$2:$A$301,0)),""))</f>
        <v>Oui (à vérifier)</v>
      </c>
      <c r="Q71" s="16"/>
    </row>
    <row r="72" spans="1:17" x14ac:dyDescent="0.25">
      <c r="A72" s="16" t="s">
        <v>474</v>
      </c>
      <c r="B72" s="16" t="s">
        <v>475</v>
      </c>
      <c r="C72" s="16" t="s">
        <v>172</v>
      </c>
      <c r="D72" s="18" t="str">
        <f>IF(C72="","",IFERROR(INDEX(Artistes!$B$2:$B$301,MATCH(C72,Artistes!$A$2:$A$301,0)),"ID inconnu"))</f>
        <v>Piet Mondrian</v>
      </c>
      <c r="E72" s="16">
        <v>1942</v>
      </c>
      <c r="F72" s="16" t="s">
        <v>67</v>
      </c>
      <c r="G72" s="16"/>
      <c r="H72" s="16" t="s">
        <v>242</v>
      </c>
      <c r="I72" s="16" t="s">
        <v>445</v>
      </c>
      <c r="J72" s="16" t="s">
        <v>244</v>
      </c>
      <c r="K72" s="16"/>
      <c r="L72" s="16"/>
      <c r="M72" s="16"/>
      <c r="N72" s="18" t="str">
        <f t="shared" si="1"/>
        <v>oeuvres/new-york-city.md</v>
      </c>
      <c r="O72" s="16" t="s">
        <v>246</v>
      </c>
      <c r="P72" s="18" t="str">
        <f ca="1">IF(C72="","",IFERROR(INDEX(Artistes!$M$2:$M$301,MATCH(C72,Artistes!$A$2:$A$301,0)),""))</f>
        <v>Oui (à vérifier)</v>
      </c>
      <c r="Q72" s="16"/>
    </row>
    <row r="73" spans="1:17" hidden="1" x14ac:dyDescent="0.25">
      <c r="A73" s="16" t="s">
        <v>476</v>
      </c>
      <c r="B73" s="16" t="s">
        <v>477</v>
      </c>
      <c r="C73" s="16" t="s">
        <v>175</v>
      </c>
      <c r="D73" s="18" t="str">
        <f>IF(C73="","",IFERROR(INDEX(Artistes!$B$2:$B$301,MATCH(C73,Artistes!$A$2:$A$301,0)),"ID inconnu"))</f>
        <v>František Kupka</v>
      </c>
      <c r="E73" s="16">
        <v>1909</v>
      </c>
      <c r="F73" s="16" t="s">
        <v>67</v>
      </c>
      <c r="G73" s="16" t="s">
        <v>478</v>
      </c>
      <c r="H73" s="16" t="s">
        <v>242</v>
      </c>
      <c r="I73" s="16" t="s">
        <v>445</v>
      </c>
      <c r="J73" s="16" t="s">
        <v>244</v>
      </c>
      <c r="K73" s="16"/>
      <c r="L73" s="16"/>
      <c r="M73" s="16"/>
      <c r="N73" s="18" t="str">
        <f t="shared" si="1"/>
        <v>oeuvres/l-eau-la-baigneuse.md</v>
      </c>
      <c r="O73" s="16" t="s">
        <v>246</v>
      </c>
      <c r="P73" s="18" t="str">
        <f ca="1">IF(C73="","",IFERROR(INDEX(Artistes!$M$2:$M$301,MATCH(C73,Artistes!$A$2:$A$301,0)),""))</f>
        <v>Non</v>
      </c>
      <c r="Q73" s="16"/>
    </row>
    <row r="74" spans="1:17" ht="25.5" hidden="1" x14ac:dyDescent="0.25">
      <c r="A74" s="16" t="s">
        <v>479</v>
      </c>
      <c r="B74" s="16" t="s">
        <v>480</v>
      </c>
      <c r="C74" s="16" t="s">
        <v>175</v>
      </c>
      <c r="D74" s="18" t="str">
        <f>IF(C74="","",IFERROR(INDEX(Artistes!$B$2:$B$301,MATCH(C74,Artistes!$A$2:$A$301,0)),"ID inconnu"))</f>
        <v>František Kupka</v>
      </c>
      <c r="E74" s="16">
        <v>1912</v>
      </c>
      <c r="F74" s="16" t="s">
        <v>67</v>
      </c>
      <c r="G74" s="16"/>
      <c r="H74" s="16" t="s">
        <v>242</v>
      </c>
      <c r="I74" s="16" t="s">
        <v>481</v>
      </c>
      <c r="J74" s="16" t="s">
        <v>482</v>
      </c>
      <c r="K74" s="16" t="s">
        <v>245</v>
      </c>
      <c r="L74" s="16"/>
      <c r="M74" s="16"/>
      <c r="N74" s="18" t="str">
        <f t="shared" si="1"/>
        <v>oeuvres/amorpha-fugue-a-deux-couleurs.md</v>
      </c>
      <c r="O74" s="16" t="s">
        <v>246</v>
      </c>
      <c r="P74" s="18" t="str">
        <f ca="1">IF(C74="","",IFERROR(INDEX(Artistes!$M$2:$M$301,MATCH(C74,Artistes!$A$2:$A$301,0)),""))</f>
        <v>Non</v>
      </c>
      <c r="Q74" s="16"/>
    </row>
    <row r="75" spans="1:17" hidden="1" x14ac:dyDescent="0.25">
      <c r="A75" s="16" t="s">
        <v>483</v>
      </c>
      <c r="B75" s="16" t="s">
        <v>484</v>
      </c>
      <c r="C75" s="16" t="s">
        <v>175</v>
      </c>
      <c r="D75" s="18" t="str">
        <f>IF(C75="","",IFERROR(INDEX(Artistes!$B$2:$B$301,MATCH(C75,Artistes!$A$2:$A$301,0)),"ID inconnu"))</f>
        <v>František Kupka</v>
      </c>
      <c r="E75" s="16">
        <v>1912</v>
      </c>
      <c r="F75" s="16" t="s">
        <v>67</v>
      </c>
      <c r="G75" s="16"/>
      <c r="H75" s="16" t="s">
        <v>242</v>
      </c>
      <c r="I75" s="16"/>
      <c r="J75" s="16"/>
      <c r="K75" s="16"/>
      <c r="L75" s="16"/>
      <c r="M75" s="16"/>
      <c r="N75" s="18" t="str">
        <f t="shared" si="1"/>
        <v>oeuvres/disques-de-newton.md</v>
      </c>
      <c r="O75" s="16" t="s">
        <v>246</v>
      </c>
      <c r="P75" s="18" t="str">
        <f ca="1">IF(C75="","",IFERROR(INDEX(Artistes!$M$2:$M$301,MATCH(C75,Artistes!$A$2:$A$301,0)),""))</f>
        <v>Non</v>
      </c>
      <c r="Q75" s="16"/>
    </row>
    <row r="76" spans="1:17" ht="25.5" hidden="1" x14ac:dyDescent="0.25">
      <c r="A76" s="16" t="s">
        <v>485</v>
      </c>
      <c r="B76" s="16" t="s">
        <v>486</v>
      </c>
      <c r="C76" s="16" t="s">
        <v>179</v>
      </c>
      <c r="D76" s="18" t="str">
        <f>IF(C76="","",IFERROR(INDEX(Artistes!$B$2:$B$301,MATCH(C76,Artistes!$A$2:$A$301,0)),"ID inconnu"))</f>
        <v>Tristan Tzara</v>
      </c>
      <c r="E76" s="16">
        <v>1916</v>
      </c>
      <c r="F76" s="16" t="s">
        <v>73</v>
      </c>
      <c r="G76" s="16"/>
      <c r="H76" s="16" t="s">
        <v>487</v>
      </c>
      <c r="I76" s="16"/>
      <c r="J76" s="16"/>
      <c r="K76" s="16"/>
      <c r="L76" s="16"/>
      <c r="M76" s="16"/>
      <c r="N76" s="18" t="str">
        <f t="shared" si="1"/>
        <v>oeuvres/la-premiere-aventure-celeste-de-m.md</v>
      </c>
      <c r="O76" s="16" t="s">
        <v>246</v>
      </c>
      <c r="P76" s="18" t="str">
        <f ca="1">IF(C76="","",IFERROR(INDEX(Artistes!$M$2:$M$301,MATCH(C76,Artistes!$A$2:$A$301,0)),""))</f>
        <v>Non</v>
      </c>
      <c r="Q76" s="16"/>
    </row>
    <row r="77" spans="1:17" hidden="1" x14ac:dyDescent="0.25">
      <c r="A77" s="16" t="s">
        <v>488</v>
      </c>
      <c r="B77" s="16" t="s">
        <v>489</v>
      </c>
      <c r="C77" s="16" t="s">
        <v>179</v>
      </c>
      <c r="D77" s="18" t="str">
        <f>IF(C77="","",IFERROR(INDEX(Artistes!$B$2:$B$301,MATCH(C77,Artistes!$A$2:$A$301,0)),"ID inconnu"))</f>
        <v>Tristan Tzara</v>
      </c>
      <c r="E77" s="16">
        <v>1918</v>
      </c>
      <c r="F77" s="16" t="s">
        <v>73</v>
      </c>
      <c r="G77" s="16"/>
      <c r="H77" s="16" t="s">
        <v>487</v>
      </c>
      <c r="I77" s="16"/>
      <c r="J77" s="16"/>
      <c r="K77" s="16"/>
      <c r="L77" s="16"/>
      <c r="M77" s="16"/>
      <c r="N77" s="18" t="str">
        <f t="shared" si="1"/>
        <v>oeuvres/manifeste-dada-1918.md</v>
      </c>
      <c r="O77" s="16" t="s">
        <v>246</v>
      </c>
      <c r="P77" s="18" t="str">
        <f ca="1">IF(C77="","",IFERROR(INDEX(Artistes!$M$2:$M$301,MATCH(C77,Artistes!$A$2:$A$301,0)),""))</f>
        <v>Non</v>
      </c>
      <c r="Q77" s="16"/>
    </row>
    <row r="78" spans="1:17" hidden="1" x14ac:dyDescent="0.25">
      <c r="A78" s="16" t="s">
        <v>490</v>
      </c>
      <c r="B78" s="16" t="s">
        <v>491</v>
      </c>
      <c r="C78" s="16" t="s">
        <v>179</v>
      </c>
      <c r="D78" s="18" t="str">
        <f>IF(C78="","",IFERROR(INDEX(Artistes!$B$2:$B$301,MATCH(C78,Artistes!$A$2:$A$301,0)),"ID inconnu"))</f>
        <v>Tristan Tzara</v>
      </c>
      <c r="E78" s="16">
        <v>1918</v>
      </c>
      <c r="F78" s="16" t="s">
        <v>73</v>
      </c>
      <c r="G78" s="16"/>
      <c r="H78" s="16" t="s">
        <v>487</v>
      </c>
      <c r="I78" s="16"/>
      <c r="J78" s="16"/>
      <c r="K78" s="16"/>
      <c r="L78" s="16"/>
      <c r="M78" s="16"/>
      <c r="N78" s="18" t="str">
        <f t="shared" si="1"/>
        <v>oeuvres/vingt-cinq-poemes.md</v>
      </c>
      <c r="O78" s="16" t="s">
        <v>246</v>
      </c>
      <c r="P78" s="18" t="str">
        <f ca="1">IF(C78="","",IFERROR(INDEX(Artistes!$M$2:$M$301,MATCH(C78,Artistes!$A$2:$A$301,0)),""))</f>
        <v>Non</v>
      </c>
      <c r="Q78" s="16"/>
    </row>
    <row r="79" spans="1:17" ht="25.5" hidden="1" x14ac:dyDescent="0.25">
      <c r="A79" s="16" t="s">
        <v>492</v>
      </c>
      <c r="B79" s="16" t="s">
        <v>493</v>
      </c>
      <c r="C79" s="16" t="s">
        <v>185</v>
      </c>
      <c r="D79" s="18" t="str">
        <f>IF(C79="","",IFERROR(INDEX(Artistes!$B$2:$B$301,MATCH(C79,Artistes!$A$2:$A$301,0)),"ID inconnu"))</f>
        <v>Hans Arp</v>
      </c>
      <c r="E79" s="16">
        <v>1917</v>
      </c>
      <c r="F79" s="16" t="s">
        <v>73</v>
      </c>
      <c r="G79" s="16" t="s">
        <v>494</v>
      </c>
      <c r="H79" s="16" t="s">
        <v>495</v>
      </c>
      <c r="I79" s="16" t="s">
        <v>310</v>
      </c>
      <c r="J79" s="16" t="s">
        <v>311</v>
      </c>
      <c r="K79" s="16" t="s">
        <v>245</v>
      </c>
      <c r="L79" s="16"/>
      <c r="M79" s="16"/>
      <c r="N79" s="18" t="str">
        <f t="shared" si="1"/>
        <v>oeuvres/collages-selon-les-lois-du-hasard.md</v>
      </c>
      <c r="O79" s="16" t="s">
        <v>246</v>
      </c>
      <c r="P79" s="18" t="str">
        <f ca="1">IF(C79="","",IFERROR(INDEX(Artistes!$M$2:$M$301,MATCH(C79,Artistes!$A$2:$A$301,0)),""))</f>
        <v>Non</v>
      </c>
      <c r="Q79" s="16"/>
    </row>
    <row r="80" spans="1:17" hidden="1" x14ac:dyDescent="0.25">
      <c r="A80" s="16" t="s">
        <v>496</v>
      </c>
      <c r="B80" s="16" t="s">
        <v>497</v>
      </c>
      <c r="C80" s="16" t="s">
        <v>185</v>
      </c>
      <c r="D80" s="18" t="str">
        <f>IF(C80="","",IFERROR(INDEX(Artistes!$B$2:$B$301,MATCH(C80,Artistes!$A$2:$A$301,0)),"ID inconnu"))</f>
        <v>Hans Arp</v>
      </c>
      <c r="E80" s="16">
        <v>1935</v>
      </c>
      <c r="F80" s="16" t="s">
        <v>73</v>
      </c>
      <c r="G80" s="16"/>
      <c r="H80" s="16" t="s">
        <v>498</v>
      </c>
      <c r="I80" s="16"/>
      <c r="J80" s="16"/>
      <c r="K80" s="16"/>
      <c r="L80" s="16"/>
      <c r="M80" s="16"/>
      <c r="N80" s="18" t="str">
        <f t="shared" si="1"/>
        <v>oeuvres/concretion-humaine.md</v>
      </c>
      <c r="O80" s="16" t="s">
        <v>246</v>
      </c>
      <c r="P80" s="18" t="str">
        <f ca="1">IF(C80="","",IFERROR(INDEX(Artistes!$M$2:$M$301,MATCH(C80,Artistes!$A$2:$A$301,0)),""))</f>
        <v>Non</v>
      </c>
      <c r="Q80" s="19" t="s">
        <v>499</v>
      </c>
    </row>
    <row r="81" spans="1:17" hidden="1" x14ac:dyDescent="0.25">
      <c r="A81" s="16" t="s">
        <v>500</v>
      </c>
      <c r="B81" s="16" t="s">
        <v>501</v>
      </c>
      <c r="C81" s="16" t="s">
        <v>185</v>
      </c>
      <c r="D81" s="18" t="str">
        <f>IF(C81="","",IFERROR(INDEX(Artistes!$B$2:$B$301,MATCH(C81,Artistes!$A$2:$A$301,0)),"ID inconnu"))</f>
        <v>Hans Arp</v>
      </c>
      <c r="E81" s="16">
        <v>1953</v>
      </c>
      <c r="F81" s="16" t="s">
        <v>73</v>
      </c>
      <c r="G81" s="16"/>
      <c r="H81" s="16" t="s">
        <v>498</v>
      </c>
      <c r="I81" s="16"/>
      <c r="J81" s="16"/>
      <c r="K81" s="16"/>
      <c r="L81" s="16"/>
      <c r="M81" s="16"/>
      <c r="N81" s="18" t="str">
        <f t="shared" si="1"/>
        <v>oeuvres/ptolemee-i.md</v>
      </c>
      <c r="O81" s="16" t="s">
        <v>246</v>
      </c>
      <c r="P81" s="18" t="str">
        <f ca="1">IF(C81="","",IFERROR(INDEX(Artistes!$M$2:$M$301,MATCH(C81,Artistes!$A$2:$A$301,0)),""))</f>
        <v>Non</v>
      </c>
      <c r="Q81" s="19" t="s">
        <v>499</v>
      </c>
    </row>
    <row r="82" spans="1:17" x14ac:dyDescent="0.25">
      <c r="A82" s="16" t="s">
        <v>502</v>
      </c>
      <c r="B82" s="16" t="s">
        <v>503</v>
      </c>
      <c r="C82" s="16" t="s">
        <v>190</v>
      </c>
      <c r="D82" s="18" t="str">
        <f>IF(C82="","",IFERROR(INDEX(Artistes!$B$2:$B$301,MATCH(C82,Artistes!$A$2:$A$301,0)),"ID inconnu"))</f>
        <v>Francis Picabia</v>
      </c>
      <c r="E82" s="16">
        <v>1912</v>
      </c>
      <c r="F82" s="16" t="s">
        <v>73</v>
      </c>
      <c r="G82" s="16"/>
      <c r="H82" s="16" t="s">
        <v>242</v>
      </c>
      <c r="I82" s="16" t="s">
        <v>326</v>
      </c>
      <c r="J82" s="16" t="s">
        <v>327</v>
      </c>
      <c r="K82" s="16"/>
      <c r="L82" s="16"/>
      <c r="M82" s="16"/>
      <c r="N82" s="18" t="str">
        <f t="shared" si="1"/>
        <v>oeuvres/danses-a-la-source.md</v>
      </c>
      <c r="O82" s="16" t="s">
        <v>246</v>
      </c>
      <c r="P82" s="18" t="str">
        <f ca="1">IF(C82="","",IFERROR(INDEX(Artistes!$M$2:$M$301,MATCH(C82,Artistes!$A$2:$A$301,0)),""))</f>
        <v>Oui (à vérifier)</v>
      </c>
      <c r="Q82" s="19" t="s">
        <v>504</v>
      </c>
    </row>
    <row r="83" spans="1:17" x14ac:dyDescent="0.25">
      <c r="A83" s="16" t="s">
        <v>505</v>
      </c>
      <c r="B83" s="16" t="s">
        <v>506</v>
      </c>
      <c r="C83" s="16" t="s">
        <v>190</v>
      </c>
      <c r="D83" s="18" t="str">
        <f>IF(C83="","",IFERROR(INDEX(Artistes!$B$2:$B$301,MATCH(C83,Artistes!$A$2:$A$301,0)),"ID inconnu"))</f>
        <v>Francis Picabia</v>
      </c>
      <c r="E83" s="16">
        <v>1917</v>
      </c>
      <c r="F83" s="16" t="s">
        <v>73</v>
      </c>
      <c r="G83" s="16"/>
      <c r="H83" s="16" t="s">
        <v>242</v>
      </c>
      <c r="I83" s="16"/>
      <c r="J83" s="16"/>
      <c r="K83" s="16"/>
      <c r="L83" s="16"/>
      <c r="M83" s="16"/>
      <c r="N83" s="18" t="str">
        <f t="shared" si="1"/>
        <v>oeuvres/parade-amoureuse.md</v>
      </c>
      <c r="O83" s="16" t="s">
        <v>246</v>
      </c>
      <c r="P83" s="18" t="str">
        <f ca="1">IF(C83="","",IFERROR(INDEX(Artistes!$M$2:$M$301,MATCH(C83,Artistes!$A$2:$A$301,0)),""))</f>
        <v>Oui (à vérifier)</v>
      </c>
      <c r="Q83" s="16"/>
    </row>
    <row r="84" spans="1:17" x14ac:dyDescent="0.25">
      <c r="A84" s="16" t="s">
        <v>507</v>
      </c>
      <c r="B84" s="16" t="s">
        <v>508</v>
      </c>
      <c r="C84" s="16" t="s">
        <v>190</v>
      </c>
      <c r="D84" s="18" t="str">
        <f>IF(C84="","",IFERROR(INDEX(Artistes!$B$2:$B$301,MATCH(C84,Artistes!$A$2:$A$301,0)),"ID inconnu"))</f>
        <v>Francis Picabia</v>
      </c>
      <c r="E84" s="16">
        <v>1917</v>
      </c>
      <c r="F84" s="16" t="s">
        <v>73</v>
      </c>
      <c r="G84" s="16" t="s">
        <v>494</v>
      </c>
      <c r="H84" s="16" t="s">
        <v>242</v>
      </c>
      <c r="I84" s="16"/>
      <c r="J84" s="16"/>
      <c r="K84" s="16"/>
      <c r="L84" s="16"/>
      <c r="M84" s="16"/>
      <c r="N84" s="18" t="str">
        <f t="shared" si="1"/>
        <v>oeuvres/machine-tournez-vite.md</v>
      </c>
      <c r="O84" s="16" t="s">
        <v>246</v>
      </c>
      <c r="P84" s="18" t="str">
        <f ca="1">IF(C84="","",IFERROR(INDEX(Artistes!$M$2:$M$301,MATCH(C84,Artistes!$A$2:$A$301,0)),""))</f>
        <v>Oui (à vérifier)</v>
      </c>
      <c r="Q84" s="16"/>
    </row>
    <row r="85" spans="1:17" x14ac:dyDescent="0.25">
      <c r="A85" s="16" t="s">
        <v>509</v>
      </c>
      <c r="B85" s="16" t="s">
        <v>510</v>
      </c>
      <c r="C85" s="16" t="s">
        <v>190</v>
      </c>
      <c r="D85" s="18" t="str">
        <f>IF(C85="","",IFERROR(INDEX(Artistes!$B$2:$B$301,MATCH(C85,Artistes!$A$2:$A$301,0)),"ID inconnu"))</f>
        <v>Francis Picabia</v>
      </c>
      <c r="E85" s="16">
        <v>1921</v>
      </c>
      <c r="F85" s="16" t="s">
        <v>73</v>
      </c>
      <c r="G85" s="16"/>
      <c r="H85" s="16" t="s">
        <v>242</v>
      </c>
      <c r="I85" s="16" t="s">
        <v>445</v>
      </c>
      <c r="J85" s="16" t="s">
        <v>244</v>
      </c>
      <c r="K85" s="16" t="s">
        <v>245</v>
      </c>
      <c r="L85" s="16"/>
      <c r="M85" s="16"/>
      <c r="N85" s="18" t="str">
        <f t="shared" si="1"/>
        <v>oeuvres/l-il-cacodylate.md</v>
      </c>
      <c r="O85" s="16" t="s">
        <v>246</v>
      </c>
      <c r="P85" s="18" t="str">
        <f ca="1">IF(C85="","",IFERROR(INDEX(Artistes!$M$2:$M$301,MATCH(C85,Artistes!$A$2:$A$301,0)),""))</f>
        <v>Oui (à vérifier)</v>
      </c>
      <c r="Q85" s="16"/>
    </row>
    <row r="86" spans="1:17" ht="25.5" hidden="1" x14ac:dyDescent="0.25">
      <c r="A86" s="16" t="s">
        <v>511</v>
      </c>
      <c r="B86" s="16" t="s">
        <v>512</v>
      </c>
      <c r="C86" s="16" t="s">
        <v>193</v>
      </c>
      <c r="D86" s="18" t="str">
        <f>IF(C86="","",IFERROR(INDEX(Artistes!$B$2:$B$301,MATCH(C86,Artistes!$A$2:$A$301,0)),"ID inconnu"))</f>
        <v>Marcel Duchamp</v>
      </c>
      <c r="E86" s="16">
        <v>1917</v>
      </c>
      <c r="F86" s="16" t="s">
        <v>73</v>
      </c>
      <c r="G86" s="16"/>
      <c r="H86" s="16" t="s">
        <v>513</v>
      </c>
      <c r="I86" s="16"/>
      <c r="J86" s="16"/>
      <c r="K86" s="16" t="s">
        <v>245</v>
      </c>
      <c r="L86" s="16"/>
      <c r="M86" s="16"/>
      <c r="N86" s="18" t="str">
        <f t="shared" si="1"/>
        <v>oeuvres/fontaine.md</v>
      </c>
      <c r="O86" s="16" t="s">
        <v>246</v>
      </c>
      <c r="P86" s="18" t="str">
        <f ca="1">IF(C86="","",IFERROR(INDEX(Artistes!$M$2:$M$301,MATCH(C86,Artistes!$A$2:$A$301,0)),""))</f>
        <v>Non</v>
      </c>
      <c r="Q86" s="19" t="s">
        <v>514</v>
      </c>
    </row>
    <row r="87" spans="1:17" ht="25.5" hidden="1" x14ac:dyDescent="0.25">
      <c r="A87" s="16" t="s">
        <v>515</v>
      </c>
      <c r="B87" s="16" t="s">
        <v>516</v>
      </c>
      <c r="C87" s="16" t="s">
        <v>193</v>
      </c>
      <c r="D87" s="18" t="str">
        <f>IF(C87="","",IFERROR(INDEX(Artistes!$B$2:$B$301,MATCH(C87,Artistes!$A$2:$A$301,0)),"ID inconnu"))</f>
        <v>Marcel Duchamp</v>
      </c>
      <c r="E87" s="16">
        <v>1919</v>
      </c>
      <c r="F87" s="16" t="s">
        <v>73</v>
      </c>
      <c r="G87" s="16"/>
      <c r="H87" s="16" t="s">
        <v>517</v>
      </c>
      <c r="I87" s="16"/>
      <c r="J87" s="16"/>
      <c r="K87" s="16" t="s">
        <v>245</v>
      </c>
      <c r="L87" s="16"/>
      <c r="M87" s="16"/>
      <c r="N87" s="18" t="str">
        <f t="shared" si="1"/>
        <v>oeuvres/l-h-o-o-q.md</v>
      </c>
      <c r="O87" s="16" t="s">
        <v>246</v>
      </c>
      <c r="P87" s="18" t="str">
        <f ca="1">IF(C87="","",IFERROR(INDEX(Artistes!$M$2:$M$301,MATCH(C87,Artistes!$A$2:$A$301,0)),""))</f>
        <v>Non</v>
      </c>
      <c r="Q87" s="16"/>
    </row>
    <row r="88" spans="1:17" ht="25.5" hidden="1" x14ac:dyDescent="0.25">
      <c r="A88" s="16" t="s">
        <v>518</v>
      </c>
      <c r="B88" s="16" t="s">
        <v>519</v>
      </c>
      <c r="C88" s="16" t="s">
        <v>199</v>
      </c>
      <c r="D88" s="18" t="str">
        <f>IF(C88="","",IFERROR(INDEX(Artistes!$B$2:$B$301,MATCH(C88,Artistes!$A$2:$A$301,0)),"ID inconnu"))</f>
        <v>André Breton</v>
      </c>
      <c r="E88" s="16">
        <v>1920</v>
      </c>
      <c r="F88" s="16" t="s">
        <v>78</v>
      </c>
      <c r="G88" s="16" t="s">
        <v>520</v>
      </c>
      <c r="H88" s="16" t="s">
        <v>487</v>
      </c>
      <c r="I88" s="16"/>
      <c r="J88" s="16"/>
      <c r="K88" s="16"/>
      <c r="L88" s="16"/>
      <c r="M88" s="16"/>
      <c r="N88" s="18" t="str">
        <f t="shared" si="1"/>
        <v>oeuvres/les-champs-magnetiques.md</v>
      </c>
      <c r="O88" s="16" t="s">
        <v>246</v>
      </c>
      <c r="P88" s="18" t="str">
        <f ca="1">IF(C88="","",IFERROR(INDEX(Artistes!$M$2:$M$301,MATCH(C88,Artistes!$A$2:$A$301,0)),""))</f>
        <v>Non</v>
      </c>
      <c r="Q88" s="19" t="s">
        <v>521</v>
      </c>
    </row>
    <row r="89" spans="1:17" ht="25.5" hidden="1" x14ac:dyDescent="0.25">
      <c r="A89" s="16" t="s">
        <v>522</v>
      </c>
      <c r="B89" s="16" t="s">
        <v>523</v>
      </c>
      <c r="C89" s="16" t="s">
        <v>199</v>
      </c>
      <c r="D89" s="18" t="str">
        <f>IF(C89="","",IFERROR(INDEX(Artistes!$B$2:$B$301,MATCH(C89,Artistes!$A$2:$A$301,0)),"ID inconnu"))</f>
        <v>André Breton</v>
      </c>
      <c r="E89" s="16">
        <v>1924</v>
      </c>
      <c r="F89" s="16" t="s">
        <v>78</v>
      </c>
      <c r="G89" s="16"/>
      <c r="H89" s="16" t="s">
        <v>487</v>
      </c>
      <c r="I89" s="16"/>
      <c r="J89" s="16"/>
      <c r="K89" s="16"/>
      <c r="L89" s="16"/>
      <c r="M89" s="16"/>
      <c r="N89" s="18" t="str">
        <f t="shared" si="1"/>
        <v>oeuvres/manifeste-du-surrealisme.md</v>
      </c>
      <c r="O89" s="16" t="s">
        <v>246</v>
      </c>
      <c r="P89" s="18" t="str">
        <f ca="1">IF(C89="","",IFERROR(INDEX(Artistes!$M$2:$M$301,MATCH(C89,Artistes!$A$2:$A$301,0)),""))</f>
        <v>Non</v>
      </c>
      <c r="Q89" s="16"/>
    </row>
    <row r="90" spans="1:17" hidden="1" x14ac:dyDescent="0.25">
      <c r="A90" s="16" t="s">
        <v>524</v>
      </c>
      <c r="B90" s="16" t="s">
        <v>525</v>
      </c>
      <c r="C90" s="16" t="s">
        <v>199</v>
      </c>
      <c r="D90" s="18" t="str">
        <f>IF(C90="","",IFERROR(INDEX(Artistes!$B$2:$B$301,MATCH(C90,Artistes!$A$2:$A$301,0)),"ID inconnu"))</f>
        <v>André Breton</v>
      </c>
      <c r="E90" s="16">
        <v>1928</v>
      </c>
      <c r="F90" s="16" t="s">
        <v>78</v>
      </c>
      <c r="G90" s="16"/>
      <c r="H90" s="16" t="s">
        <v>526</v>
      </c>
      <c r="I90" s="16"/>
      <c r="J90" s="16"/>
      <c r="K90" s="16"/>
      <c r="L90" s="16"/>
      <c r="M90" s="16"/>
      <c r="N90" s="18" t="str">
        <f t="shared" si="1"/>
        <v>oeuvres/nadja.md</v>
      </c>
      <c r="O90" s="16" t="s">
        <v>246</v>
      </c>
      <c r="P90" s="18" t="str">
        <f ca="1">IF(C90="","",IFERROR(INDEX(Artistes!$M$2:$M$301,MATCH(C90,Artistes!$A$2:$A$301,0)),""))</f>
        <v>Non</v>
      </c>
      <c r="Q90" s="16"/>
    </row>
    <row r="91" spans="1:17" ht="25.5" hidden="1" x14ac:dyDescent="0.25">
      <c r="A91" s="16" t="s">
        <v>527</v>
      </c>
      <c r="B91" s="16" t="s">
        <v>528</v>
      </c>
      <c r="C91" s="16" t="s">
        <v>202</v>
      </c>
      <c r="D91" s="18" t="str">
        <f>IF(C91="","",IFERROR(INDEX(Artistes!$B$2:$B$301,MATCH(C91,Artistes!$A$2:$A$301,0)),"ID inconnu"))</f>
        <v>Salvador Dalí</v>
      </c>
      <c r="E91" s="16">
        <v>1929</v>
      </c>
      <c r="F91" s="16" t="s">
        <v>78</v>
      </c>
      <c r="G91" s="16"/>
      <c r="H91" s="16" t="s">
        <v>242</v>
      </c>
      <c r="I91" s="16" t="s">
        <v>385</v>
      </c>
      <c r="J91" s="16" t="s">
        <v>386</v>
      </c>
      <c r="K91" s="16"/>
      <c r="L91" s="16"/>
      <c r="M91" s="16"/>
      <c r="N91" s="18" t="str">
        <f t="shared" si="1"/>
        <v>oeuvres/le-grand-masturbateur.md</v>
      </c>
      <c r="O91" s="16" t="s">
        <v>246</v>
      </c>
      <c r="P91" s="18" t="str">
        <f ca="1">IF(C91="","",IFERROR(INDEX(Artistes!$M$2:$M$301,MATCH(C91,Artistes!$A$2:$A$301,0)),""))</f>
        <v>Non</v>
      </c>
      <c r="Q91" s="16"/>
    </row>
    <row r="92" spans="1:17" ht="25.5" hidden="1" x14ac:dyDescent="0.25">
      <c r="A92" s="16" t="s">
        <v>529</v>
      </c>
      <c r="B92" s="16" t="s">
        <v>530</v>
      </c>
      <c r="C92" s="16" t="s">
        <v>202</v>
      </c>
      <c r="D92" s="18" t="str">
        <f>IF(C92="","",IFERROR(INDEX(Artistes!$B$2:$B$301,MATCH(C92,Artistes!$A$2:$A$301,0)),"ID inconnu"))</f>
        <v>Salvador Dalí</v>
      </c>
      <c r="E92" s="16">
        <v>1931</v>
      </c>
      <c r="F92" s="16" t="s">
        <v>78</v>
      </c>
      <c r="G92" s="16"/>
      <c r="H92" s="16" t="s">
        <v>242</v>
      </c>
      <c r="I92" s="16" t="s">
        <v>310</v>
      </c>
      <c r="J92" s="16" t="s">
        <v>311</v>
      </c>
      <c r="K92" s="16" t="s">
        <v>245</v>
      </c>
      <c r="L92" s="16"/>
      <c r="M92" s="16"/>
      <c r="N92" s="18" t="str">
        <f t="shared" si="1"/>
        <v>oeuvres/la-persistance-de-la-memoire.md</v>
      </c>
      <c r="O92" s="16" t="s">
        <v>246</v>
      </c>
      <c r="P92" s="18" t="str">
        <f ca="1">IF(C92="","",IFERROR(INDEX(Artistes!$M$2:$M$301,MATCH(C92,Artistes!$A$2:$A$301,0)),""))</f>
        <v>Non</v>
      </c>
      <c r="Q92" s="16"/>
    </row>
    <row r="93" spans="1:17" ht="25.5" hidden="1" x14ac:dyDescent="0.25">
      <c r="A93" s="16" t="s">
        <v>531</v>
      </c>
      <c r="B93" s="16" t="s">
        <v>532</v>
      </c>
      <c r="C93" s="16" t="s">
        <v>202</v>
      </c>
      <c r="D93" s="18" t="str">
        <f>IF(C93="","",IFERROR(INDEX(Artistes!$B$2:$B$301,MATCH(C93,Artistes!$A$2:$A$301,0)),"ID inconnu"))</f>
        <v>Salvador Dalí</v>
      </c>
      <c r="E93" s="16">
        <v>1937</v>
      </c>
      <c r="F93" s="16" t="s">
        <v>78</v>
      </c>
      <c r="G93" s="16"/>
      <c r="H93" s="16" t="s">
        <v>242</v>
      </c>
      <c r="I93" s="16" t="s">
        <v>390</v>
      </c>
      <c r="J93" s="16" t="s">
        <v>303</v>
      </c>
      <c r="K93" s="16"/>
      <c r="L93" s="16"/>
      <c r="M93" s="16"/>
      <c r="N93" s="18" t="str">
        <f t="shared" si="1"/>
        <v>oeuvres/metamorphose-de-narcisse.md</v>
      </c>
      <c r="O93" s="16" t="s">
        <v>246</v>
      </c>
      <c r="P93" s="18" t="str">
        <f ca="1">IF(C93="","",IFERROR(INDEX(Artistes!$M$2:$M$301,MATCH(C93,Artistes!$A$2:$A$301,0)),""))</f>
        <v>Non</v>
      </c>
      <c r="Q93" s="16"/>
    </row>
    <row r="94" spans="1:17" ht="25.5" hidden="1" x14ac:dyDescent="0.25">
      <c r="A94" s="16" t="s">
        <v>533</v>
      </c>
      <c r="B94" s="16" t="s">
        <v>534</v>
      </c>
      <c r="C94" s="16" t="s">
        <v>202</v>
      </c>
      <c r="D94" s="18" t="str">
        <f>IF(C94="","",IFERROR(INDEX(Artistes!$B$2:$B$301,MATCH(C94,Artistes!$A$2:$A$301,0)),"ID inconnu"))</f>
        <v>Salvador Dalí</v>
      </c>
      <c r="E94" s="16">
        <v>1952</v>
      </c>
      <c r="F94" s="16" t="s">
        <v>78</v>
      </c>
      <c r="G94" s="16"/>
      <c r="H94" s="16" t="s">
        <v>242</v>
      </c>
      <c r="I94" s="16" t="s">
        <v>535</v>
      </c>
      <c r="J94" s="16" t="s">
        <v>536</v>
      </c>
      <c r="K94" s="16"/>
      <c r="L94" s="16"/>
      <c r="M94" s="16"/>
      <c r="N94" s="18" t="str">
        <f t="shared" si="1"/>
        <v>oeuvres/galatee-aux-spheres.md</v>
      </c>
      <c r="O94" s="16" t="s">
        <v>246</v>
      </c>
      <c r="P94" s="18" t="str">
        <f ca="1">IF(C94="","",IFERROR(INDEX(Artistes!$M$2:$M$301,MATCH(C94,Artistes!$A$2:$A$301,0)),""))</f>
        <v>Non</v>
      </c>
      <c r="Q94" s="19" t="s">
        <v>537</v>
      </c>
    </row>
    <row r="95" spans="1:17" ht="25.5" hidden="1" x14ac:dyDescent="0.25">
      <c r="A95" s="16" t="s">
        <v>538</v>
      </c>
      <c r="B95" s="16" t="s">
        <v>539</v>
      </c>
      <c r="C95" s="16" t="s">
        <v>205</v>
      </c>
      <c r="D95" s="18" t="str">
        <f>IF(C95="","",IFERROR(INDEX(Artistes!$B$2:$B$301,MATCH(C95,Artistes!$A$2:$A$301,0)),"ID inconnu"))</f>
        <v>Max Ernst</v>
      </c>
      <c r="E95" s="16">
        <v>1926</v>
      </c>
      <c r="F95" s="16" t="s">
        <v>78</v>
      </c>
      <c r="G95" s="16"/>
      <c r="H95" s="16" t="s">
        <v>242</v>
      </c>
      <c r="I95" s="16" t="s">
        <v>540</v>
      </c>
      <c r="J95" s="16" t="s">
        <v>541</v>
      </c>
      <c r="K95" s="16"/>
      <c r="L95" s="16"/>
      <c r="M95" s="16"/>
      <c r="N95" s="18" t="str">
        <f t="shared" si="1"/>
        <v>oeuvres/la-vierge-corrigeant-l-enfant-jesus.md</v>
      </c>
      <c r="O95" s="16" t="s">
        <v>246</v>
      </c>
      <c r="P95" s="18" t="str">
        <f ca="1">IF(C95="","",IFERROR(INDEX(Artistes!$M$2:$M$301,MATCH(C95,Artistes!$A$2:$A$301,0)),""))</f>
        <v>Non</v>
      </c>
      <c r="Q95" s="16"/>
    </row>
    <row r="96" spans="1:17" ht="25.5" hidden="1" x14ac:dyDescent="0.25">
      <c r="A96" s="16" t="s">
        <v>542</v>
      </c>
      <c r="B96" s="16" t="s">
        <v>543</v>
      </c>
      <c r="C96" s="16" t="s">
        <v>205</v>
      </c>
      <c r="D96" s="18" t="str">
        <f>IF(C96="","",IFERROR(INDEX(Artistes!$B$2:$B$301,MATCH(C96,Artistes!$A$2:$A$301,0)),"ID inconnu"))</f>
        <v>Max Ernst</v>
      </c>
      <c r="E96" s="16">
        <v>1937</v>
      </c>
      <c r="F96" s="16" t="s">
        <v>78</v>
      </c>
      <c r="G96" s="16"/>
      <c r="H96" s="16" t="s">
        <v>242</v>
      </c>
      <c r="I96" s="16"/>
      <c r="J96" s="16"/>
      <c r="K96" s="16" t="s">
        <v>245</v>
      </c>
      <c r="L96" s="16"/>
      <c r="M96" s="16"/>
      <c r="N96" s="18" t="str">
        <f t="shared" si="1"/>
        <v>oeuvres/l-ange-du-foyer-ou-le-triomphe-du.md</v>
      </c>
      <c r="O96" s="16" t="s">
        <v>246</v>
      </c>
      <c r="P96" s="18" t="str">
        <f ca="1">IF(C96="","",IFERROR(INDEX(Artistes!$M$2:$M$301,MATCH(C96,Artistes!$A$2:$A$301,0)),""))</f>
        <v>Non</v>
      </c>
      <c r="Q96" s="16"/>
    </row>
    <row r="97" spans="1:17" ht="25.5" hidden="1" x14ac:dyDescent="0.25">
      <c r="A97" s="16" t="s">
        <v>544</v>
      </c>
      <c r="B97" s="16" t="s">
        <v>545</v>
      </c>
      <c r="C97" s="16" t="s">
        <v>209</v>
      </c>
      <c r="D97" s="18" t="str">
        <f>IF(C97="","",IFERROR(INDEX(Artistes!$B$2:$B$301,MATCH(C97,Artistes!$A$2:$A$301,0)),"ID inconnu"))</f>
        <v>René Magritte</v>
      </c>
      <c r="E97" s="16">
        <v>1929</v>
      </c>
      <c r="F97" s="16" t="s">
        <v>78</v>
      </c>
      <c r="G97" s="16"/>
      <c r="H97" s="16" t="s">
        <v>242</v>
      </c>
      <c r="I97" s="16" t="s">
        <v>546</v>
      </c>
      <c r="J97" s="16" t="s">
        <v>547</v>
      </c>
      <c r="K97" s="16" t="s">
        <v>245</v>
      </c>
      <c r="L97" s="16"/>
      <c r="M97" s="16"/>
      <c r="N97" s="18" t="str">
        <f t="shared" si="1"/>
        <v>oeuvres/la-trahison-des-images.md</v>
      </c>
      <c r="O97" s="16" t="s">
        <v>246</v>
      </c>
      <c r="P97" s="18" t="str">
        <f ca="1">IF(C97="","",IFERROR(INDEX(Artistes!$M$2:$M$301,MATCH(C97,Artistes!$A$2:$A$301,0)),""))</f>
        <v>Non</v>
      </c>
      <c r="Q97" s="16"/>
    </row>
    <row r="98" spans="1:17" ht="25.5" hidden="1" x14ac:dyDescent="0.25">
      <c r="A98" s="16" t="s">
        <v>548</v>
      </c>
      <c r="B98" s="16" t="s">
        <v>549</v>
      </c>
      <c r="C98" s="16" t="s">
        <v>213</v>
      </c>
      <c r="D98" s="18" t="str">
        <f>IF(C98="","",IFERROR(INDEX(Artistes!$B$2:$B$301,MATCH(C98,Artistes!$A$2:$A$301,0)),"ID inconnu"))</f>
        <v>Jackson Pollock</v>
      </c>
      <c r="E98" s="16">
        <v>1943</v>
      </c>
      <c r="F98" s="16" t="s">
        <v>83</v>
      </c>
      <c r="G98" s="16"/>
      <c r="H98" s="16" t="s">
        <v>242</v>
      </c>
      <c r="I98" s="16" t="s">
        <v>550</v>
      </c>
      <c r="J98" s="16" t="s">
        <v>551</v>
      </c>
      <c r="K98" s="16"/>
      <c r="L98" s="16"/>
      <c r="M98" s="16"/>
      <c r="N98" s="18" t="str">
        <f t="shared" si="1"/>
        <v>oeuvres/mural.md</v>
      </c>
      <c r="O98" s="16" t="s">
        <v>246</v>
      </c>
      <c r="P98" s="18" t="str">
        <f ca="1">IF(C98="","",IFERROR(INDEX(Artistes!$M$2:$M$301,MATCH(C98,Artistes!$A$2:$A$301,0)),""))</f>
        <v>Non</v>
      </c>
      <c r="Q98" s="16"/>
    </row>
    <row r="99" spans="1:17" ht="25.5" hidden="1" x14ac:dyDescent="0.25">
      <c r="A99" s="16" t="s">
        <v>552</v>
      </c>
      <c r="B99" s="16" t="s">
        <v>553</v>
      </c>
      <c r="C99" s="16" t="s">
        <v>213</v>
      </c>
      <c r="D99" s="18" t="str">
        <f>IF(C99="","",IFERROR(INDEX(Artistes!$B$2:$B$301,MATCH(C99,Artistes!$A$2:$A$301,0)),"ID inconnu"))</f>
        <v>Jackson Pollock</v>
      </c>
      <c r="E99" s="16">
        <v>1950</v>
      </c>
      <c r="F99" s="16" t="s">
        <v>83</v>
      </c>
      <c r="G99" s="16"/>
      <c r="H99" s="16" t="s">
        <v>242</v>
      </c>
      <c r="I99" s="16" t="s">
        <v>310</v>
      </c>
      <c r="J99" s="16" t="s">
        <v>311</v>
      </c>
      <c r="K99" s="16" t="s">
        <v>245</v>
      </c>
      <c r="L99" s="16"/>
      <c r="M99" s="16"/>
      <c r="N99" s="18" t="str">
        <f t="shared" si="1"/>
        <v>oeuvres/one-number-31-1950.md</v>
      </c>
      <c r="O99" s="16" t="s">
        <v>246</v>
      </c>
      <c r="P99" s="18" t="str">
        <f ca="1">IF(C99="","",IFERROR(INDEX(Artistes!$M$2:$M$301,MATCH(C99,Artistes!$A$2:$A$301,0)),""))</f>
        <v>Non</v>
      </c>
      <c r="Q99" s="16"/>
    </row>
    <row r="100" spans="1:17" ht="25.5" hidden="1" x14ac:dyDescent="0.25">
      <c r="A100" s="16" t="s">
        <v>554</v>
      </c>
      <c r="B100" s="16" t="s">
        <v>555</v>
      </c>
      <c r="C100" s="16" t="s">
        <v>213</v>
      </c>
      <c r="D100" s="18" t="str">
        <f>IF(C100="","",IFERROR(INDEX(Artistes!$B$2:$B$301,MATCH(C100,Artistes!$A$2:$A$301,0)),"ID inconnu"))</f>
        <v>Jackson Pollock</v>
      </c>
      <c r="E100" s="16">
        <v>1952</v>
      </c>
      <c r="F100" s="16" t="s">
        <v>83</v>
      </c>
      <c r="G100" s="16"/>
      <c r="H100" s="16" t="s">
        <v>242</v>
      </c>
      <c r="I100" s="16" t="s">
        <v>556</v>
      </c>
      <c r="J100" s="16" t="s">
        <v>557</v>
      </c>
      <c r="K100" s="16"/>
      <c r="L100" s="16"/>
      <c r="M100" s="16"/>
      <c r="N100" s="18" t="str">
        <f t="shared" si="1"/>
        <v>oeuvres/convergence.md</v>
      </c>
      <c r="O100" s="16" t="s">
        <v>246</v>
      </c>
      <c r="P100" s="18" t="str">
        <f ca="1">IF(C100="","",IFERROR(INDEX(Artistes!$M$2:$M$301,MATCH(C100,Artistes!$A$2:$A$301,0)),""))</f>
        <v>Non</v>
      </c>
      <c r="Q100" s="16"/>
    </row>
    <row r="101" spans="1:17" ht="25.5" hidden="1" x14ac:dyDescent="0.25">
      <c r="A101" s="16" t="s">
        <v>558</v>
      </c>
      <c r="B101" s="16" t="s">
        <v>559</v>
      </c>
      <c r="C101" s="16" t="s">
        <v>217</v>
      </c>
      <c r="D101" s="18" t="str">
        <f>IF(C101="","",IFERROR(INDEX(Artistes!$B$2:$B$301,MATCH(C101,Artistes!$A$2:$A$301,0)),"ID inconnu"))</f>
        <v>Mark Rothko</v>
      </c>
      <c r="E101" s="16">
        <v>1938</v>
      </c>
      <c r="F101" s="16" t="s">
        <v>83</v>
      </c>
      <c r="G101" s="16"/>
      <c r="H101" s="16" t="s">
        <v>242</v>
      </c>
      <c r="I101" s="16"/>
      <c r="J101" s="16"/>
      <c r="K101" s="16"/>
      <c r="L101" s="16"/>
      <c r="M101" s="16"/>
      <c r="N101" s="18" t="str">
        <f t="shared" si="1"/>
        <v>oeuvres/entree-de-metro.md</v>
      </c>
      <c r="O101" s="16" t="s">
        <v>246</v>
      </c>
      <c r="P101" s="18" t="str">
        <f ca="1">IF(C101="","",IFERROR(INDEX(Artistes!$M$2:$M$301,MATCH(C101,Artistes!$A$2:$A$301,0)),""))</f>
        <v>Non</v>
      </c>
      <c r="Q101" s="19" t="s">
        <v>560</v>
      </c>
    </row>
    <row r="102" spans="1:17" ht="25.5" hidden="1" x14ac:dyDescent="0.25">
      <c r="A102" s="16" t="s">
        <v>561</v>
      </c>
      <c r="B102" s="16" t="s">
        <v>562</v>
      </c>
      <c r="C102" s="16" t="s">
        <v>217</v>
      </c>
      <c r="D102" s="18" t="str">
        <f>IF(C102="","",IFERROR(INDEX(Artistes!$B$2:$B$301,MATCH(C102,Artistes!$A$2:$A$301,0)),"ID inconnu"))</f>
        <v>Mark Rothko</v>
      </c>
      <c r="E102" s="16">
        <v>1956</v>
      </c>
      <c r="F102" s="16" t="s">
        <v>83</v>
      </c>
      <c r="G102" s="16"/>
      <c r="H102" s="16" t="s">
        <v>242</v>
      </c>
      <c r="I102" s="16" t="s">
        <v>556</v>
      </c>
      <c r="J102" s="16" t="s">
        <v>557</v>
      </c>
      <c r="K102" s="16"/>
      <c r="L102" s="16"/>
      <c r="M102" s="16"/>
      <c r="N102" s="18" t="str">
        <f t="shared" si="1"/>
        <v>oeuvres/orange-and-yellow.md</v>
      </c>
      <c r="O102" s="16" t="s">
        <v>246</v>
      </c>
      <c r="P102" s="18" t="str">
        <f ca="1">IF(C102="","",IFERROR(INDEX(Artistes!$M$2:$M$301,MATCH(C102,Artistes!$A$2:$A$301,0)),""))</f>
        <v>Non</v>
      </c>
      <c r="Q102" s="16"/>
    </row>
    <row r="103" spans="1:17" ht="25.5" hidden="1" x14ac:dyDescent="0.25">
      <c r="A103" s="16" t="s">
        <v>563</v>
      </c>
      <c r="B103" s="16" t="s">
        <v>564</v>
      </c>
      <c r="C103" s="16" t="s">
        <v>217</v>
      </c>
      <c r="D103" s="18" t="str">
        <f>IF(C103="","",IFERROR(INDEX(Artistes!$B$2:$B$301,MATCH(C103,Artistes!$A$2:$A$301,0)),"ID inconnu"))</f>
        <v>Mark Rothko</v>
      </c>
      <c r="E103" s="16">
        <v>1960</v>
      </c>
      <c r="F103" s="16" t="s">
        <v>83</v>
      </c>
      <c r="G103" s="16"/>
      <c r="H103" s="16" t="s">
        <v>242</v>
      </c>
      <c r="I103" s="16" t="s">
        <v>349</v>
      </c>
      <c r="J103" s="16" t="s">
        <v>350</v>
      </c>
      <c r="K103" s="16" t="s">
        <v>245</v>
      </c>
      <c r="L103" s="16"/>
      <c r="M103" s="16"/>
      <c r="N103" s="18" t="str">
        <f t="shared" si="1"/>
        <v>oeuvres/no-14.md</v>
      </c>
      <c r="O103" s="16" t="s">
        <v>246</v>
      </c>
      <c r="P103" s="18" t="str">
        <f ca="1">IF(C103="","",IFERROR(INDEX(Artistes!$M$2:$M$301,MATCH(C103,Artistes!$A$2:$A$301,0)),""))</f>
        <v>Non</v>
      </c>
      <c r="Q103" s="19" t="s">
        <v>565</v>
      </c>
    </row>
    <row r="104" spans="1:17" ht="25.5" hidden="1" x14ac:dyDescent="0.25">
      <c r="A104" s="16" t="s">
        <v>566</v>
      </c>
      <c r="B104" s="16" t="s">
        <v>567</v>
      </c>
      <c r="C104" s="16" t="s">
        <v>221</v>
      </c>
      <c r="D104" s="18" t="str">
        <f>IF(C104="","",IFERROR(INDEX(Artistes!$B$2:$B$301,MATCH(C104,Artistes!$A$2:$A$301,0)),"ID inconnu"))</f>
        <v>Barnett Newman</v>
      </c>
      <c r="E104" s="16">
        <v>1951</v>
      </c>
      <c r="F104" s="16" t="s">
        <v>83</v>
      </c>
      <c r="G104" s="16" t="s">
        <v>568</v>
      </c>
      <c r="H104" s="16" t="s">
        <v>242</v>
      </c>
      <c r="I104" s="16" t="s">
        <v>310</v>
      </c>
      <c r="J104" s="16" t="s">
        <v>311</v>
      </c>
      <c r="K104" s="16" t="s">
        <v>245</v>
      </c>
      <c r="L104" s="16"/>
      <c r="M104" s="16"/>
      <c r="N104" s="18" t="str">
        <f t="shared" si="1"/>
        <v>oeuvres/vir-heroicus-sublimis.md</v>
      </c>
      <c r="O104" s="16" t="s">
        <v>246</v>
      </c>
      <c r="P104" s="18" t="str">
        <f ca="1">IF(C104="","",IFERROR(INDEX(Artistes!$M$2:$M$301,MATCH(C104,Artistes!$A$2:$A$301,0)),""))</f>
        <v>Non</v>
      </c>
      <c r="Q104" s="16"/>
    </row>
    <row r="105" spans="1:17" ht="25.5" hidden="1" x14ac:dyDescent="0.25">
      <c r="A105" s="16" t="s">
        <v>569</v>
      </c>
      <c r="B105" s="16" t="s">
        <v>570</v>
      </c>
      <c r="C105" s="16" t="s">
        <v>225</v>
      </c>
      <c r="D105" s="18" t="str">
        <f>IF(C105="","",IFERROR(INDEX(Artistes!$B$2:$B$301,MATCH(C105,Artistes!$A$2:$A$301,0)),"ID inconnu"))</f>
        <v>Willem de Kooning</v>
      </c>
      <c r="E105" s="16">
        <v>1952</v>
      </c>
      <c r="F105" s="16" t="s">
        <v>83</v>
      </c>
      <c r="G105" s="16" t="s">
        <v>571</v>
      </c>
      <c r="H105" s="16" t="s">
        <v>242</v>
      </c>
      <c r="I105" s="16" t="s">
        <v>310</v>
      </c>
      <c r="J105" s="16" t="s">
        <v>311</v>
      </c>
      <c r="K105" s="16" t="s">
        <v>245</v>
      </c>
      <c r="L105" s="16"/>
      <c r="M105" s="16"/>
      <c r="N105" s="18" t="str">
        <f t="shared" si="1"/>
        <v>oeuvres/woman-i.md</v>
      </c>
      <c r="O105" s="16" t="s">
        <v>246</v>
      </c>
      <c r="P105" s="18" t="str">
        <f ca="1">IF(C105="","",IFERROR(INDEX(Artistes!$M$2:$M$301,MATCH(C105,Artistes!$A$2:$A$301,0)),""))</f>
        <v>Non</v>
      </c>
      <c r="Q105" s="16"/>
    </row>
    <row r="106" spans="1:17" hidden="1" x14ac:dyDescent="0.25">
      <c r="A106" s="16"/>
      <c r="B106" s="16"/>
      <c r="C106" s="16"/>
      <c r="D106" s="18" t="str">
        <f>IF(C106="","",IFERROR(INDEX(Artistes!$B$2:$B$301,MATCH(C106,Artistes!$A$2:$A$301,0)),"ID inconnu"))</f>
        <v/>
      </c>
      <c r="E106" s="16"/>
      <c r="F106" s="16"/>
      <c r="G106" s="16"/>
      <c r="H106" s="16"/>
      <c r="I106" s="16"/>
      <c r="J106" s="16"/>
      <c r="K106" s="16"/>
      <c r="L106" s="16"/>
      <c r="M106" s="16"/>
      <c r="N106" s="18" t="str">
        <f t="shared" si="1"/>
        <v/>
      </c>
      <c r="O106" s="16"/>
      <c r="P106" s="18" t="str">
        <f>IF(C106="","",IFERROR(INDEX(Artistes!$M$2:$M$301,MATCH(C106,Artistes!$A$2:$A$301,0)),""))</f>
        <v/>
      </c>
      <c r="Q106" s="16"/>
    </row>
    <row r="107" spans="1:17" hidden="1" x14ac:dyDescent="0.25">
      <c r="A107" s="16"/>
      <c r="B107" s="16"/>
      <c r="C107" s="16"/>
      <c r="D107" s="18" t="str">
        <f>IF(C107="","",IFERROR(INDEX(Artistes!$B$2:$B$301,MATCH(C107,Artistes!$A$2:$A$301,0)),"ID inconnu"))</f>
        <v/>
      </c>
      <c r="E107" s="16"/>
      <c r="F107" s="16"/>
      <c r="G107" s="16"/>
      <c r="H107" s="16"/>
      <c r="I107" s="16"/>
      <c r="J107" s="16"/>
      <c r="K107" s="16"/>
      <c r="L107" s="16"/>
      <c r="M107" s="16"/>
      <c r="N107" s="18" t="str">
        <f t="shared" si="1"/>
        <v/>
      </c>
      <c r="O107" s="16"/>
      <c r="P107" s="18" t="str">
        <f>IF(C107="","",IFERROR(INDEX(Artistes!$M$2:$M$301,MATCH(C107,Artistes!$A$2:$A$301,0)),""))</f>
        <v/>
      </c>
      <c r="Q107" s="16"/>
    </row>
    <row r="108" spans="1:17" hidden="1" x14ac:dyDescent="0.25">
      <c r="A108" s="16"/>
      <c r="B108" s="16"/>
      <c r="C108" s="16"/>
      <c r="D108" s="18" t="str">
        <f>IF(C108="","",IFERROR(INDEX(Artistes!$B$2:$B$301,MATCH(C108,Artistes!$A$2:$A$301,0)),"ID inconnu"))</f>
        <v/>
      </c>
      <c r="E108" s="16"/>
      <c r="F108" s="16"/>
      <c r="G108" s="16"/>
      <c r="H108" s="16"/>
      <c r="I108" s="16"/>
      <c r="J108" s="16"/>
      <c r="K108" s="16"/>
      <c r="L108" s="16"/>
      <c r="M108" s="16"/>
      <c r="N108" s="18" t="str">
        <f t="shared" si="1"/>
        <v/>
      </c>
      <c r="O108" s="16"/>
      <c r="P108" s="18" t="str">
        <f>IF(C108="","",IFERROR(INDEX(Artistes!$M$2:$M$301,MATCH(C108,Artistes!$A$2:$A$301,0)),""))</f>
        <v/>
      </c>
      <c r="Q108" s="16"/>
    </row>
    <row r="109" spans="1:17" hidden="1" x14ac:dyDescent="0.25">
      <c r="A109" s="16"/>
      <c r="B109" s="16"/>
      <c r="C109" s="16"/>
      <c r="D109" s="18" t="str">
        <f>IF(C109="","",IFERROR(INDEX(Artistes!$B$2:$B$301,MATCH(C109,Artistes!$A$2:$A$301,0)),"ID inconnu"))</f>
        <v/>
      </c>
      <c r="E109" s="16"/>
      <c r="F109" s="16"/>
      <c r="G109" s="16"/>
      <c r="H109" s="16"/>
      <c r="I109" s="16"/>
      <c r="J109" s="16"/>
      <c r="K109" s="16"/>
      <c r="L109" s="16"/>
      <c r="M109" s="16"/>
      <c r="N109" s="18" t="str">
        <f t="shared" si="1"/>
        <v/>
      </c>
      <c r="O109" s="16"/>
      <c r="P109" s="18" t="str">
        <f>IF(C109="","",IFERROR(INDEX(Artistes!$M$2:$M$301,MATCH(C109,Artistes!$A$2:$A$301,0)),""))</f>
        <v/>
      </c>
      <c r="Q109" s="16"/>
    </row>
    <row r="110" spans="1:17" hidden="1" x14ac:dyDescent="0.25">
      <c r="A110" s="16"/>
      <c r="B110" s="16"/>
      <c r="C110" s="16"/>
      <c r="D110" s="18" t="str">
        <f>IF(C110="","",IFERROR(INDEX(Artistes!$B$2:$B$301,MATCH(C110,Artistes!$A$2:$A$301,0)),"ID inconnu"))</f>
        <v/>
      </c>
      <c r="E110" s="16"/>
      <c r="F110" s="16"/>
      <c r="G110" s="16"/>
      <c r="H110" s="16"/>
      <c r="I110" s="16"/>
      <c r="J110" s="16"/>
      <c r="K110" s="16"/>
      <c r="L110" s="16"/>
      <c r="M110" s="16"/>
      <c r="N110" s="18" t="str">
        <f t="shared" si="1"/>
        <v/>
      </c>
      <c r="O110" s="16"/>
      <c r="P110" s="18" t="str">
        <f>IF(C110="","",IFERROR(INDEX(Artistes!$M$2:$M$301,MATCH(C110,Artistes!$A$2:$A$301,0)),""))</f>
        <v/>
      </c>
      <c r="Q110" s="16"/>
    </row>
    <row r="111" spans="1:17" hidden="1" x14ac:dyDescent="0.25">
      <c r="A111" s="16"/>
      <c r="B111" s="16"/>
      <c r="C111" s="16"/>
      <c r="D111" s="18" t="str">
        <f>IF(C111="","",IFERROR(INDEX(Artistes!$B$2:$B$301,MATCH(C111,Artistes!$A$2:$A$301,0)),"ID inconnu"))</f>
        <v/>
      </c>
      <c r="E111" s="16"/>
      <c r="F111" s="16"/>
      <c r="G111" s="16"/>
      <c r="H111" s="16"/>
      <c r="I111" s="16"/>
      <c r="J111" s="16"/>
      <c r="K111" s="16"/>
      <c r="L111" s="16"/>
      <c r="M111" s="16"/>
      <c r="N111" s="18" t="str">
        <f t="shared" si="1"/>
        <v/>
      </c>
      <c r="O111" s="16"/>
      <c r="P111" s="18" t="str">
        <f>IF(C111="","",IFERROR(INDEX(Artistes!$M$2:$M$301,MATCH(C111,Artistes!$A$2:$A$301,0)),""))</f>
        <v/>
      </c>
      <c r="Q111" s="16"/>
    </row>
    <row r="112" spans="1:17" hidden="1" x14ac:dyDescent="0.25">
      <c r="A112" s="16"/>
      <c r="B112" s="16"/>
      <c r="C112" s="16"/>
      <c r="D112" s="18" t="str">
        <f>IF(C112="","",IFERROR(INDEX(Artistes!$B$2:$B$301,MATCH(C112,Artistes!$A$2:$A$301,0)),"ID inconnu"))</f>
        <v/>
      </c>
      <c r="E112" s="16"/>
      <c r="F112" s="16"/>
      <c r="G112" s="16"/>
      <c r="H112" s="16"/>
      <c r="I112" s="16"/>
      <c r="J112" s="16"/>
      <c r="K112" s="16"/>
      <c r="L112" s="16"/>
      <c r="M112" s="16"/>
      <c r="N112" s="18" t="str">
        <f t="shared" si="1"/>
        <v/>
      </c>
      <c r="O112" s="16"/>
      <c r="P112" s="18" t="str">
        <f>IF(C112="","",IFERROR(INDEX(Artistes!$M$2:$M$301,MATCH(C112,Artistes!$A$2:$A$301,0)),""))</f>
        <v/>
      </c>
      <c r="Q112" s="16"/>
    </row>
    <row r="113" spans="1:17" hidden="1" x14ac:dyDescent="0.25">
      <c r="A113" s="16"/>
      <c r="B113" s="16"/>
      <c r="C113" s="16"/>
      <c r="D113" s="18" t="str">
        <f>IF(C113="","",IFERROR(INDEX(Artistes!$B$2:$B$301,MATCH(C113,Artistes!$A$2:$A$301,0)),"ID inconnu"))</f>
        <v/>
      </c>
      <c r="E113" s="16"/>
      <c r="F113" s="16"/>
      <c r="G113" s="16"/>
      <c r="H113" s="16"/>
      <c r="I113" s="16"/>
      <c r="J113" s="16"/>
      <c r="K113" s="16"/>
      <c r="L113" s="16"/>
      <c r="M113" s="16"/>
      <c r="N113" s="18" t="str">
        <f t="shared" si="1"/>
        <v/>
      </c>
      <c r="O113" s="16"/>
      <c r="P113" s="18" t="str">
        <f>IF(C113="","",IFERROR(INDEX(Artistes!$M$2:$M$301,MATCH(C113,Artistes!$A$2:$A$301,0)),""))</f>
        <v/>
      </c>
      <c r="Q113" s="16"/>
    </row>
    <row r="114" spans="1:17" hidden="1" x14ac:dyDescent="0.25">
      <c r="A114" s="16"/>
      <c r="B114" s="16"/>
      <c r="C114" s="16"/>
      <c r="D114" s="18" t="str">
        <f>IF(C114="","",IFERROR(INDEX(Artistes!$B$2:$B$301,MATCH(C114,Artistes!$A$2:$A$301,0)),"ID inconnu"))</f>
        <v/>
      </c>
      <c r="E114" s="16"/>
      <c r="F114" s="16"/>
      <c r="G114" s="16"/>
      <c r="H114" s="16"/>
      <c r="I114" s="16"/>
      <c r="J114" s="16"/>
      <c r="K114" s="16"/>
      <c r="L114" s="16"/>
      <c r="M114" s="16"/>
      <c r="N114" s="18" t="str">
        <f t="shared" si="1"/>
        <v/>
      </c>
      <c r="O114" s="16"/>
      <c r="P114" s="18" t="str">
        <f>IF(C114="","",IFERROR(INDEX(Artistes!$M$2:$M$301,MATCH(C114,Artistes!$A$2:$A$301,0)),""))</f>
        <v/>
      </c>
      <c r="Q114" s="16"/>
    </row>
    <row r="115" spans="1:17" hidden="1" x14ac:dyDescent="0.25">
      <c r="A115" s="16"/>
      <c r="B115" s="16"/>
      <c r="C115" s="16"/>
      <c r="D115" s="18" t="str">
        <f>IF(C115="","",IFERROR(INDEX(Artistes!$B$2:$B$301,MATCH(C115,Artistes!$A$2:$A$301,0)),"ID inconnu"))</f>
        <v/>
      </c>
      <c r="E115" s="16"/>
      <c r="F115" s="16"/>
      <c r="G115" s="16"/>
      <c r="H115" s="16"/>
      <c r="I115" s="16"/>
      <c r="J115" s="16"/>
      <c r="K115" s="16"/>
      <c r="L115" s="16"/>
      <c r="M115" s="16"/>
      <c r="N115" s="18" t="str">
        <f t="shared" si="1"/>
        <v/>
      </c>
      <c r="O115" s="16"/>
      <c r="P115" s="18" t="str">
        <f>IF(C115="","",IFERROR(INDEX(Artistes!$M$2:$M$301,MATCH(C115,Artistes!$A$2:$A$301,0)),""))</f>
        <v/>
      </c>
      <c r="Q115" s="16"/>
    </row>
    <row r="116" spans="1:17" hidden="1" x14ac:dyDescent="0.25">
      <c r="A116" s="16"/>
      <c r="B116" s="16"/>
      <c r="C116" s="16"/>
      <c r="D116" s="18" t="str">
        <f>IF(C116="","",IFERROR(INDEX(Artistes!$B$2:$B$301,MATCH(C116,Artistes!$A$2:$A$301,0)),"ID inconnu"))</f>
        <v/>
      </c>
      <c r="E116" s="16"/>
      <c r="F116" s="16"/>
      <c r="G116" s="16"/>
      <c r="H116" s="16"/>
      <c r="I116" s="16"/>
      <c r="J116" s="16"/>
      <c r="K116" s="16"/>
      <c r="L116" s="16"/>
      <c r="M116" s="16"/>
      <c r="N116" s="18" t="str">
        <f t="shared" si="1"/>
        <v/>
      </c>
      <c r="O116" s="16"/>
      <c r="P116" s="18" t="str">
        <f>IF(C116="","",IFERROR(INDEX(Artistes!$M$2:$M$301,MATCH(C116,Artistes!$A$2:$A$301,0)),""))</f>
        <v/>
      </c>
      <c r="Q116" s="16"/>
    </row>
    <row r="117" spans="1:17" hidden="1" x14ac:dyDescent="0.25">
      <c r="A117" s="16"/>
      <c r="B117" s="16"/>
      <c r="C117" s="16"/>
      <c r="D117" s="18" t="str">
        <f>IF(C117="","",IFERROR(INDEX(Artistes!$B$2:$B$301,MATCH(C117,Artistes!$A$2:$A$301,0)),"ID inconnu"))</f>
        <v/>
      </c>
      <c r="E117" s="16"/>
      <c r="F117" s="16"/>
      <c r="G117" s="16"/>
      <c r="H117" s="16"/>
      <c r="I117" s="16"/>
      <c r="J117" s="16"/>
      <c r="K117" s="16"/>
      <c r="L117" s="16"/>
      <c r="M117" s="16"/>
      <c r="N117" s="18" t="str">
        <f t="shared" si="1"/>
        <v/>
      </c>
      <c r="O117" s="16"/>
      <c r="P117" s="18" t="str">
        <f>IF(C117="","",IFERROR(INDEX(Artistes!$M$2:$M$301,MATCH(C117,Artistes!$A$2:$A$301,0)),""))</f>
        <v/>
      </c>
      <c r="Q117" s="16"/>
    </row>
    <row r="118" spans="1:17" hidden="1" x14ac:dyDescent="0.25">
      <c r="A118" s="16"/>
      <c r="B118" s="16"/>
      <c r="C118" s="16"/>
      <c r="D118" s="18" t="str">
        <f>IF(C118="","",IFERROR(INDEX(Artistes!$B$2:$B$301,MATCH(C118,Artistes!$A$2:$A$301,0)),"ID inconnu"))</f>
        <v/>
      </c>
      <c r="E118" s="16"/>
      <c r="F118" s="16"/>
      <c r="G118" s="16"/>
      <c r="H118" s="16"/>
      <c r="I118" s="16"/>
      <c r="J118" s="16"/>
      <c r="K118" s="16"/>
      <c r="L118" s="16"/>
      <c r="M118" s="16"/>
      <c r="N118" s="18" t="str">
        <f t="shared" si="1"/>
        <v/>
      </c>
      <c r="O118" s="16"/>
      <c r="P118" s="18" t="str">
        <f>IF(C118="","",IFERROR(INDEX(Artistes!$M$2:$M$301,MATCH(C118,Artistes!$A$2:$A$301,0)),""))</f>
        <v/>
      </c>
      <c r="Q118" s="16"/>
    </row>
    <row r="119" spans="1:17" hidden="1" x14ac:dyDescent="0.25">
      <c r="A119" s="16"/>
      <c r="B119" s="16"/>
      <c r="C119" s="16"/>
      <c r="D119" s="18" t="str">
        <f>IF(C119="","",IFERROR(INDEX(Artistes!$B$2:$B$301,MATCH(C119,Artistes!$A$2:$A$301,0)),"ID inconnu"))</f>
        <v/>
      </c>
      <c r="E119" s="16"/>
      <c r="F119" s="16"/>
      <c r="G119" s="16"/>
      <c r="H119" s="16"/>
      <c r="I119" s="16"/>
      <c r="J119" s="16"/>
      <c r="K119" s="16"/>
      <c r="L119" s="16"/>
      <c r="M119" s="16"/>
      <c r="N119" s="18" t="str">
        <f t="shared" si="1"/>
        <v/>
      </c>
      <c r="O119" s="16"/>
      <c r="P119" s="18" t="str">
        <f>IF(C119="","",IFERROR(INDEX(Artistes!$M$2:$M$301,MATCH(C119,Artistes!$A$2:$A$301,0)),""))</f>
        <v/>
      </c>
      <c r="Q119" s="16"/>
    </row>
    <row r="120" spans="1:17" hidden="1" x14ac:dyDescent="0.25">
      <c r="A120" s="16"/>
      <c r="B120" s="16"/>
      <c r="C120" s="16"/>
      <c r="D120" s="18" t="str">
        <f>IF(C120="","",IFERROR(INDEX(Artistes!$B$2:$B$301,MATCH(C120,Artistes!$A$2:$A$301,0)),"ID inconnu"))</f>
        <v/>
      </c>
      <c r="E120" s="16"/>
      <c r="F120" s="16"/>
      <c r="G120" s="16"/>
      <c r="H120" s="16"/>
      <c r="I120" s="16"/>
      <c r="J120" s="16"/>
      <c r="K120" s="16"/>
      <c r="L120" s="16"/>
      <c r="M120" s="16"/>
      <c r="N120" s="18" t="str">
        <f t="shared" si="1"/>
        <v/>
      </c>
      <c r="O120" s="16"/>
      <c r="P120" s="18" t="str">
        <f>IF(C120="","",IFERROR(INDEX(Artistes!$M$2:$M$301,MATCH(C120,Artistes!$A$2:$A$301,0)),""))</f>
        <v/>
      </c>
      <c r="Q120" s="16"/>
    </row>
    <row r="121" spans="1:17" hidden="1" x14ac:dyDescent="0.25">
      <c r="A121" s="16"/>
      <c r="B121" s="16"/>
      <c r="C121" s="16"/>
      <c r="D121" s="18" t="str">
        <f>IF(C121="","",IFERROR(INDEX(Artistes!$B$2:$B$301,MATCH(C121,Artistes!$A$2:$A$301,0)),"ID inconnu"))</f>
        <v/>
      </c>
      <c r="E121" s="16"/>
      <c r="F121" s="16"/>
      <c r="G121" s="16"/>
      <c r="H121" s="16"/>
      <c r="I121" s="16"/>
      <c r="J121" s="16"/>
      <c r="K121" s="16"/>
      <c r="L121" s="16"/>
      <c r="M121" s="16"/>
      <c r="N121" s="18" t="str">
        <f t="shared" si="1"/>
        <v/>
      </c>
      <c r="O121" s="16"/>
      <c r="P121" s="18" t="str">
        <f>IF(C121="","",IFERROR(INDEX(Artistes!$M$2:$M$301,MATCH(C121,Artistes!$A$2:$A$301,0)),""))</f>
        <v/>
      </c>
      <c r="Q121" s="16"/>
    </row>
    <row r="122" spans="1:17" hidden="1" x14ac:dyDescent="0.25">
      <c r="A122" s="16"/>
      <c r="B122" s="16"/>
      <c r="C122" s="16"/>
      <c r="D122" s="18" t="str">
        <f>IF(C122="","",IFERROR(INDEX(Artistes!$B$2:$B$301,MATCH(C122,Artistes!$A$2:$A$301,0)),"ID inconnu"))</f>
        <v/>
      </c>
      <c r="E122" s="16"/>
      <c r="F122" s="16"/>
      <c r="G122" s="16"/>
      <c r="H122" s="16"/>
      <c r="I122" s="16"/>
      <c r="J122" s="16"/>
      <c r="K122" s="16"/>
      <c r="L122" s="16"/>
      <c r="M122" s="16"/>
      <c r="N122" s="18" t="str">
        <f t="shared" si="1"/>
        <v/>
      </c>
      <c r="O122" s="16"/>
      <c r="P122" s="18" t="str">
        <f>IF(C122="","",IFERROR(INDEX(Artistes!$M$2:$M$301,MATCH(C122,Artistes!$A$2:$A$301,0)),""))</f>
        <v/>
      </c>
      <c r="Q122" s="16"/>
    </row>
    <row r="123" spans="1:17" hidden="1" x14ac:dyDescent="0.25">
      <c r="A123" s="16"/>
      <c r="B123" s="16"/>
      <c r="C123" s="16"/>
      <c r="D123" s="18" t="str">
        <f>IF(C123="","",IFERROR(INDEX(Artistes!$B$2:$B$301,MATCH(C123,Artistes!$A$2:$A$301,0)),"ID inconnu"))</f>
        <v/>
      </c>
      <c r="E123" s="16"/>
      <c r="F123" s="16"/>
      <c r="G123" s="16"/>
      <c r="H123" s="16"/>
      <c r="I123" s="16"/>
      <c r="J123" s="16"/>
      <c r="K123" s="16"/>
      <c r="L123" s="16"/>
      <c r="M123" s="16"/>
      <c r="N123" s="18" t="str">
        <f t="shared" si="1"/>
        <v/>
      </c>
      <c r="O123" s="16"/>
      <c r="P123" s="18" t="str">
        <f>IF(C123="","",IFERROR(INDEX(Artistes!$M$2:$M$301,MATCH(C123,Artistes!$A$2:$A$301,0)),""))</f>
        <v/>
      </c>
      <c r="Q123" s="16"/>
    </row>
    <row r="124" spans="1:17" hidden="1" x14ac:dyDescent="0.25">
      <c r="A124" s="16"/>
      <c r="B124" s="16"/>
      <c r="C124" s="16"/>
      <c r="D124" s="18" t="str">
        <f>IF(C124="","",IFERROR(INDEX(Artistes!$B$2:$B$301,MATCH(C124,Artistes!$A$2:$A$301,0)),"ID inconnu"))</f>
        <v/>
      </c>
      <c r="E124" s="16"/>
      <c r="F124" s="16"/>
      <c r="G124" s="16"/>
      <c r="H124" s="16"/>
      <c r="I124" s="16"/>
      <c r="J124" s="16"/>
      <c r="K124" s="16"/>
      <c r="L124" s="16"/>
      <c r="M124" s="16"/>
      <c r="N124" s="18" t="str">
        <f t="shared" si="1"/>
        <v/>
      </c>
      <c r="O124" s="16"/>
      <c r="P124" s="18" t="str">
        <f>IF(C124="","",IFERROR(INDEX(Artistes!$M$2:$M$301,MATCH(C124,Artistes!$A$2:$A$301,0)),""))</f>
        <v/>
      </c>
      <c r="Q124" s="16"/>
    </row>
    <row r="125" spans="1:17" hidden="1" x14ac:dyDescent="0.25">
      <c r="A125" s="16"/>
      <c r="B125" s="16"/>
      <c r="C125" s="16"/>
      <c r="D125" s="18" t="str">
        <f>IF(C125="","",IFERROR(INDEX(Artistes!$B$2:$B$301,MATCH(C125,Artistes!$A$2:$A$301,0)),"ID inconnu"))</f>
        <v/>
      </c>
      <c r="E125" s="16"/>
      <c r="F125" s="16"/>
      <c r="G125" s="16"/>
      <c r="H125" s="16"/>
      <c r="I125" s="16"/>
      <c r="J125" s="16"/>
      <c r="K125" s="16"/>
      <c r="L125" s="16"/>
      <c r="M125" s="16"/>
      <c r="N125" s="18" t="str">
        <f t="shared" si="1"/>
        <v/>
      </c>
      <c r="O125" s="16"/>
      <c r="P125" s="18" t="str">
        <f>IF(C125="","",IFERROR(INDEX(Artistes!$M$2:$M$301,MATCH(C125,Artistes!$A$2:$A$301,0)),""))</f>
        <v/>
      </c>
      <c r="Q125" s="16"/>
    </row>
    <row r="126" spans="1:17" hidden="1" x14ac:dyDescent="0.25">
      <c r="A126" s="16"/>
      <c r="B126" s="16"/>
      <c r="C126" s="16"/>
      <c r="D126" s="18" t="str">
        <f>IF(C126="","",IFERROR(INDEX(Artistes!$B$2:$B$301,MATCH(C126,Artistes!$A$2:$A$301,0)),"ID inconnu"))</f>
        <v/>
      </c>
      <c r="E126" s="16"/>
      <c r="F126" s="16"/>
      <c r="G126" s="16"/>
      <c r="H126" s="16"/>
      <c r="I126" s="16"/>
      <c r="J126" s="16"/>
      <c r="K126" s="16"/>
      <c r="L126" s="16"/>
      <c r="M126" s="16"/>
      <c r="N126" s="18" t="str">
        <f t="shared" si="1"/>
        <v/>
      </c>
      <c r="O126" s="16"/>
      <c r="P126" s="18" t="str">
        <f>IF(C126="","",IFERROR(INDEX(Artistes!$M$2:$M$301,MATCH(C126,Artistes!$A$2:$A$301,0)),""))</f>
        <v/>
      </c>
      <c r="Q126" s="16"/>
    </row>
    <row r="127" spans="1:17" hidden="1" x14ac:dyDescent="0.25">
      <c r="A127" s="16"/>
      <c r="B127" s="16"/>
      <c r="C127" s="16"/>
      <c r="D127" s="18" t="str">
        <f>IF(C127="","",IFERROR(INDEX(Artistes!$B$2:$B$301,MATCH(C127,Artistes!$A$2:$A$301,0)),"ID inconnu"))</f>
        <v/>
      </c>
      <c r="E127" s="16"/>
      <c r="F127" s="16"/>
      <c r="G127" s="16"/>
      <c r="H127" s="16"/>
      <c r="I127" s="16"/>
      <c r="J127" s="16"/>
      <c r="K127" s="16"/>
      <c r="L127" s="16"/>
      <c r="M127" s="16"/>
      <c r="N127" s="18" t="str">
        <f t="shared" si="1"/>
        <v/>
      </c>
      <c r="O127" s="16"/>
      <c r="P127" s="18" t="str">
        <f>IF(C127="","",IFERROR(INDEX(Artistes!$M$2:$M$301,MATCH(C127,Artistes!$A$2:$A$301,0)),""))</f>
        <v/>
      </c>
      <c r="Q127" s="16"/>
    </row>
    <row r="128" spans="1:17" hidden="1" x14ac:dyDescent="0.25">
      <c r="A128" s="16"/>
      <c r="B128" s="16"/>
      <c r="C128" s="16"/>
      <c r="D128" s="18" t="str">
        <f>IF(C128="","",IFERROR(INDEX(Artistes!$B$2:$B$301,MATCH(C128,Artistes!$A$2:$A$301,0)),"ID inconnu"))</f>
        <v/>
      </c>
      <c r="E128" s="16"/>
      <c r="F128" s="16"/>
      <c r="G128" s="16"/>
      <c r="H128" s="16"/>
      <c r="I128" s="16"/>
      <c r="J128" s="16"/>
      <c r="K128" s="16"/>
      <c r="L128" s="16"/>
      <c r="M128" s="16"/>
      <c r="N128" s="18" t="str">
        <f t="shared" si="1"/>
        <v/>
      </c>
      <c r="O128" s="16"/>
      <c r="P128" s="18" t="str">
        <f>IF(C128="","",IFERROR(INDEX(Artistes!$M$2:$M$301,MATCH(C128,Artistes!$A$2:$A$301,0)),""))</f>
        <v/>
      </c>
      <c r="Q128" s="16"/>
    </row>
    <row r="129" spans="1:17" hidden="1" x14ac:dyDescent="0.25">
      <c r="A129" s="16"/>
      <c r="B129" s="16"/>
      <c r="C129" s="16"/>
      <c r="D129" s="18" t="str">
        <f>IF(C129="","",IFERROR(INDEX(Artistes!$B$2:$B$301,MATCH(C129,Artistes!$A$2:$A$301,0)),"ID inconnu"))</f>
        <v/>
      </c>
      <c r="E129" s="16"/>
      <c r="F129" s="16"/>
      <c r="G129" s="16"/>
      <c r="H129" s="16"/>
      <c r="I129" s="16"/>
      <c r="J129" s="16"/>
      <c r="K129" s="16"/>
      <c r="L129" s="16"/>
      <c r="M129" s="16"/>
      <c r="N129" s="18" t="str">
        <f t="shared" si="1"/>
        <v/>
      </c>
      <c r="O129" s="16"/>
      <c r="P129" s="18" t="str">
        <f>IF(C129="","",IFERROR(INDEX(Artistes!$M$2:$M$301,MATCH(C129,Artistes!$A$2:$A$301,0)),""))</f>
        <v/>
      </c>
      <c r="Q129" s="16"/>
    </row>
    <row r="130" spans="1:17" hidden="1" x14ac:dyDescent="0.25">
      <c r="A130" s="16"/>
      <c r="B130" s="16"/>
      <c r="C130" s="16"/>
      <c r="D130" s="18" t="str">
        <f>IF(C130="","",IFERROR(INDEX(Artistes!$B$2:$B$301,MATCH(C130,Artistes!$A$2:$A$301,0)),"ID inconnu"))</f>
        <v/>
      </c>
      <c r="E130" s="16"/>
      <c r="F130" s="16"/>
      <c r="G130" s="16"/>
      <c r="H130" s="16"/>
      <c r="I130" s="16"/>
      <c r="J130" s="16"/>
      <c r="K130" s="16"/>
      <c r="L130" s="16"/>
      <c r="M130" s="16"/>
      <c r="N130" s="18" t="str">
        <f t="shared" ref="N130:N193" si="2">IF(A130="","","oeuvres/"&amp;A130&amp;".md")</f>
        <v/>
      </c>
      <c r="O130" s="16"/>
      <c r="P130" s="18" t="str">
        <f>IF(C130="","",IFERROR(INDEX(Artistes!$M$2:$M$301,MATCH(C130,Artistes!$A$2:$A$301,0)),""))</f>
        <v/>
      </c>
      <c r="Q130" s="16"/>
    </row>
    <row r="131" spans="1:17" hidden="1" x14ac:dyDescent="0.25">
      <c r="A131" s="16"/>
      <c r="B131" s="16"/>
      <c r="C131" s="16"/>
      <c r="D131" s="18" t="str">
        <f>IF(C131="","",IFERROR(INDEX(Artistes!$B$2:$B$301,MATCH(C131,Artistes!$A$2:$A$301,0)),"ID inconnu"))</f>
        <v/>
      </c>
      <c r="E131" s="16"/>
      <c r="F131" s="16"/>
      <c r="G131" s="16"/>
      <c r="H131" s="16"/>
      <c r="I131" s="16"/>
      <c r="J131" s="16"/>
      <c r="K131" s="16"/>
      <c r="L131" s="16"/>
      <c r="M131" s="16"/>
      <c r="N131" s="18" t="str">
        <f t="shared" si="2"/>
        <v/>
      </c>
      <c r="O131" s="16"/>
      <c r="P131" s="18" t="str">
        <f>IF(C131="","",IFERROR(INDEX(Artistes!$M$2:$M$301,MATCH(C131,Artistes!$A$2:$A$301,0)),""))</f>
        <v/>
      </c>
      <c r="Q131" s="16"/>
    </row>
    <row r="132" spans="1:17" hidden="1" x14ac:dyDescent="0.25">
      <c r="A132" s="16"/>
      <c r="B132" s="16"/>
      <c r="C132" s="16"/>
      <c r="D132" s="18" t="str">
        <f>IF(C132="","",IFERROR(INDEX(Artistes!$B$2:$B$301,MATCH(C132,Artistes!$A$2:$A$301,0)),"ID inconnu"))</f>
        <v/>
      </c>
      <c r="E132" s="16"/>
      <c r="F132" s="16"/>
      <c r="G132" s="16"/>
      <c r="H132" s="16"/>
      <c r="I132" s="16"/>
      <c r="J132" s="16"/>
      <c r="K132" s="16"/>
      <c r="L132" s="16"/>
      <c r="M132" s="16"/>
      <c r="N132" s="18" t="str">
        <f t="shared" si="2"/>
        <v/>
      </c>
      <c r="O132" s="16"/>
      <c r="P132" s="18" t="str">
        <f>IF(C132="","",IFERROR(INDEX(Artistes!$M$2:$M$301,MATCH(C132,Artistes!$A$2:$A$301,0)),""))</f>
        <v/>
      </c>
      <c r="Q132" s="16"/>
    </row>
    <row r="133" spans="1:17" hidden="1" x14ac:dyDescent="0.25">
      <c r="A133" s="16"/>
      <c r="B133" s="16"/>
      <c r="C133" s="16"/>
      <c r="D133" s="18" t="str">
        <f>IF(C133="","",IFERROR(INDEX(Artistes!$B$2:$B$301,MATCH(C133,Artistes!$A$2:$A$301,0)),"ID inconnu"))</f>
        <v/>
      </c>
      <c r="E133" s="16"/>
      <c r="F133" s="16"/>
      <c r="G133" s="16"/>
      <c r="H133" s="16"/>
      <c r="I133" s="16"/>
      <c r="J133" s="16"/>
      <c r="K133" s="16"/>
      <c r="L133" s="16"/>
      <c r="M133" s="16"/>
      <c r="N133" s="18" t="str">
        <f t="shared" si="2"/>
        <v/>
      </c>
      <c r="O133" s="16"/>
      <c r="P133" s="18" t="str">
        <f>IF(C133="","",IFERROR(INDEX(Artistes!$M$2:$M$301,MATCH(C133,Artistes!$A$2:$A$301,0)),""))</f>
        <v/>
      </c>
      <c r="Q133" s="16"/>
    </row>
    <row r="134" spans="1:17" hidden="1" x14ac:dyDescent="0.25">
      <c r="A134" s="16"/>
      <c r="B134" s="16"/>
      <c r="C134" s="16"/>
      <c r="D134" s="18" t="str">
        <f>IF(C134="","",IFERROR(INDEX(Artistes!$B$2:$B$301,MATCH(C134,Artistes!$A$2:$A$301,0)),"ID inconnu"))</f>
        <v/>
      </c>
      <c r="E134" s="16"/>
      <c r="F134" s="16"/>
      <c r="G134" s="16"/>
      <c r="H134" s="16"/>
      <c r="I134" s="16"/>
      <c r="J134" s="16"/>
      <c r="K134" s="16"/>
      <c r="L134" s="16"/>
      <c r="M134" s="16"/>
      <c r="N134" s="18" t="str">
        <f t="shared" si="2"/>
        <v/>
      </c>
      <c r="O134" s="16"/>
      <c r="P134" s="18" t="str">
        <f>IF(C134="","",IFERROR(INDEX(Artistes!$M$2:$M$301,MATCH(C134,Artistes!$A$2:$A$301,0)),""))</f>
        <v/>
      </c>
      <c r="Q134" s="16"/>
    </row>
    <row r="135" spans="1:17" hidden="1" x14ac:dyDescent="0.25">
      <c r="A135" s="16"/>
      <c r="B135" s="16"/>
      <c r="C135" s="16"/>
      <c r="D135" s="18" t="str">
        <f>IF(C135="","",IFERROR(INDEX(Artistes!$B$2:$B$301,MATCH(C135,Artistes!$A$2:$A$301,0)),"ID inconnu"))</f>
        <v/>
      </c>
      <c r="E135" s="16"/>
      <c r="F135" s="16"/>
      <c r="G135" s="16"/>
      <c r="H135" s="16"/>
      <c r="I135" s="16"/>
      <c r="J135" s="16"/>
      <c r="K135" s="16"/>
      <c r="L135" s="16"/>
      <c r="M135" s="16"/>
      <c r="N135" s="18" t="str">
        <f t="shared" si="2"/>
        <v/>
      </c>
      <c r="O135" s="16"/>
      <c r="P135" s="18" t="str">
        <f>IF(C135="","",IFERROR(INDEX(Artistes!$M$2:$M$301,MATCH(C135,Artistes!$A$2:$A$301,0)),""))</f>
        <v/>
      </c>
      <c r="Q135" s="16"/>
    </row>
    <row r="136" spans="1:17" hidden="1" x14ac:dyDescent="0.25">
      <c r="A136" s="16"/>
      <c r="B136" s="16"/>
      <c r="C136" s="16"/>
      <c r="D136" s="18" t="str">
        <f>IF(C136="","",IFERROR(INDEX(Artistes!$B$2:$B$301,MATCH(C136,Artistes!$A$2:$A$301,0)),"ID inconnu"))</f>
        <v/>
      </c>
      <c r="E136" s="16"/>
      <c r="F136" s="16"/>
      <c r="G136" s="16"/>
      <c r="H136" s="16"/>
      <c r="I136" s="16"/>
      <c r="J136" s="16"/>
      <c r="K136" s="16"/>
      <c r="L136" s="16"/>
      <c r="M136" s="16"/>
      <c r="N136" s="18" t="str">
        <f t="shared" si="2"/>
        <v/>
      </c>
      <c r="O136" s="16"/>
      <c r="P136" s="18" t="str">
        <f>IF(C136="","",IFERROR(INDEX(Artistes!$M$2:$M$301,MATCH(C136,Artistes!$A$2:$A$301,0)),""))</f>
        <v/>
      </c>
      <c r="Q136" s="16"/>
    </row>
    <row r="137" spans="1:17" hidden="1" x14ac:dyDescent="0.25">
      <c r="A137" s="16"/>
      <c r="B137" s="16"/>
      <c r="C137" s="16"/>
      <c r="D137" s="18" t="str">
        <f>IF(C137="","",IFERROR(INDEX(Artistes!$B$2:$B$301,MATCH(C137,Artistes!$A$2:$A$301,0)),"ID inconnu"))</f>
        <v/>
      </c>
      <c r="E137" s="16"/>
      <c r="F137" s="16"/>
      <c r="G137" s="16"/>
      <c r="H137" s="16"/>
      <c r="I137" s="16"/>
      <c r="J137" s="16"/>
      <c r="K137" s="16"/>
      <c r="L137" s="16"/>
      <c r="M137" s="16"/>
      <c r="N137" s="18" t="str">
        <f t="shared" si="2"/>
        <v/>
      </c>
      <c r="O137" s="16"/>
      <c r="P137" s="18" t="str">
        <f>IF(C137="","",IFERROR(INDEX(Artistes!$M$2:$M$301,MATCH(C137,Artistes!$A$2:$A$301,0)),""))</f>
        <v/>
      </c>
      <c r="Q137" s="16"/>
    </row>
    <row r="138" spans="1:17" hidden="1" x14ac:dyDescent="0.25">
      <c r="A138" s="16"/>
      <c r="B138" s="16"/>
      <c r="C138" s="16"/>
      <c r="D138" s="18" t="str">
        <f>IF(C138="","",IFERROR(INDEX(Artistes!$B$2:$B$301,MATCH(C138,Artistes!$A$2:$A$301,0)),"ID inconnu"))</f>
        <v/>
      </c>
      <c r="E138" s="16"/>
      <c r="F138" s="16"/>
      <c r="G138" s="16"/>
      <c r="H138" s="16"/>
      <c r="I138" s="16"/>
      <c r="J138" s="16"/>
      <c r="K138" s="16"/>
      <c r="L138" s="16"/>
      <c r="M138" s="16"/>
      <c r="N138" s="18" t="str">
        <f t="shared" si="2"/>
        <v/>
      </c>
      <c r="O138" s="16"/>
      <c r="P138" s="18" t="str">
        <f>IF(C138="","",IFERROR(INDEX(Artistes!$M$2:$M$301,MATCH(C138,Artistes!$A$2:$A$301,0)),""))</f>
        <v/>
      </c>
      <c r="Q138" s="16"/>
    </row>
    <row r="139" spans="1:17" hidden="1" x14ac:dyDescent="0.25">
      <c r="A139" s="16"/>
      <c r="B139" s="16"/>
      <c r="C139" s="16"/>
      <c r="D139" s="18" t="str">
        <f>IF(C139="","",IFERROR(INDEX(Artistes!$B$2:$B$301,MATCH(C139,Artistes!$A$2:$A$301,0)),"ID inconnu"))</f>
        <v/>
      </c>
      <c r="E139" s="16"/>
      <c r="F139" s="16"/>
      <c r="G139" s="16"/>
      <c r="H139" s="16"/>
      <c r="I139" s="16"/>
      <c r="J139" s="16"/>
      <c r="K139" s="16"/>
      <c r="L139" s="16"/>
      <c r="M139" s="16"/>
      <c r="N139" s="18" t="str">
        <f t="shared" si="2"/>
        <v/>
      </c>
      <c r="O139" s="16"/>
      <c r="P139" s="18" t="str">
        <f>IF(C139="","",IFERROR(INDEX(Artistes!$M$2:$M$301,MATCH(C139,Artistes!$A$2:$A$301,0)),""))</f>
        <v/>
      </c>
      <c r="Q139" s="16"/>
    </row>
    <row r="140" spans="1:17" hidden="1" x14ac:dyDescent="0.25">
      <c r="A140" s="16"/>
      <c r="B140" s="16"/>
      <c r="C140" s="16"/>
      <c r="D140" s="18" t="str">
        <f>IF(C140="","",IFERROR(INDEX(Artistes!$B$2:$B$301,MATCH(C140,Artistes!$A$2:$A$301,0)),"ID inconnu"))</f>
        <v/>
      </c>
      <c r="E140" s="16"/>
      <c r="F140" s="16"/>
      <c r="G140" s="16"/>
      <c r="H140" s="16"/>
      <c r="I140" s="16"/>
      <c r="J140" s="16"/>
      <c r="K140" s="16"/>
      <c r="L140" s="16"/>
      <c r="M140" s="16"/>
      <c r="N140" s="18" t="str">
        <f t="shared" si="2"/>
        <v/>
      </c>
      <c r="O140" s="16"/>
      <c r="P140" s="18" t="str">
        <f>IF(C140="","",IFERROR(INDEX(Artistes!$M$2:$M$301,MATCH(C140,Artistes!$A$2:$A$301,0)),""))</f>
        <v/>
      </c>
      <c r="Q140" s="16"/>
    </row>
    <row r="141" spans="1:17" hidden="1" x14ac:dyDescent="0.25">
      <c r="A141" s="16"/>
      <c r="B141" s="16"/>
      <c r="C141" s="16"/>
      <c r="D141" s="18" t="str">
        <f>IF(C141="","",IFERROR(INDEX(Artistes!$B$2:$B$301,MATCH(C141,Artistes!$A$2:$A$301,0)),"ID inconnu"))</f>
        <v/>
      </c>
      <c r="E141" s="16"/>
      <c r="F141" s="16"/>
      <c r="G141" s="16"/>
      <c r="H141" s="16"/>
      <c r="I141" s="16"/>
      <c r="J141" s="16"/>
      <c r="K141" s="16"/>
      <c r="L141" s="16"/>
      <c r="M141" s="16"/>
      <c r="N141" s="18" t="str">
        <f t="shared" si="2"/>
        <v/>
      </c>
      <c r="O141" s="16"/>
      <c r="P141" s="18" t="str">
        <f>IF(C141="","",IFERROR(INDEX(Artistes!$M$2:$M$301,MATCH(C141,Artistes!$A$2:$A$301,0)),""))</f>
        <v/>
      </c>
      <c r="Q141" s="16"/>
    </row>
    <row r="142" spans="1:17" hidden="1" x14ac:dyDescent="0.25">
      <c r="A142" s="16"/>
      <c r="B142" s="16"/>
      <c r="C142" s="16"/>
      <c r="D142" s="18" t="str">
        <f>IF(C142="","",IFERROR(INDEX(Artistes!$B$2:$B$301,MATCH(C142,Artistes!$A$2:$A$301,0)),"ID inconnu"))</f>
        <v/>
      </c>
      <c r="E142" s="16"/>
      <c r="F142" s="16"/>
      <c r="G142" s="16"/>
      <c r="H142" s="16"/>
      <c r="I142" s="16"/>
      <c r="J142" s="16"/>
      <c r="K142" s="16"/>
      <c r="L142" s="16"/>
      <c r="M142" s="16"/>
      <c r="N142" s="18" t="str">
        <f t="shared" si="2"/>
        <v/>
      </c>
      <c r="O142" s="16"/>
      <c r="P142" s="18" t="str">
        <f>IF(C142="","",IFERROR(INDEX(Artistes!$M$2:$M$301,MATCH(C142,Artistes!$A$2:$A$301,0)),""))</f>
        <v/>
      </c>
      <c r="Q142" s="16"/>
    </row>
    <row r="143" spans="1:17" hidden="1" x14ac:dyDescent="0.25">
      <c r="A143" s="16"/>
      <c r="B143" s="16"/>
      <c r="C143" s="16"/>
      <c r="D143" s="18" t="str">
        <f>IF(C143="","",IFERROR(INDEX(Artistes!$B$2:$B$301,MATCH(C143,Artistes!$A$2:$A$301,0)),"ID inconnu"))</f>
        <v/>
      </c>
      <c r="E143" s="16"/>
      <c r="F143" s="16"/>
      <c r="G143" s="16"/>
      <c r="H143" s="16"/>
      <c r="I143" s="16"/>
      <c r="J143" s="16"/>
      <c r="K143" s="16"/>
      <c r="L143" s="16"/>
      <c r="M143" s="16"/>
      <c r="N143" s="18" t="str">
        <f t="shared" si="2"/>
        <v/>
      </c>
      <c r="O143" s="16"/>
      <c r="P143" s="18" t="str">
        <f>IF(C143="","",IFERROR(INDEX(Artistes!$M$2:$M$301,MATCH(C143,Artistes!$A$2:$A$301,0)),""))</f>
        <v/>
      </c>
      <c r="Q143" s="16"/>
    </row>
    <row r="144" spans="1:17" hidden="1" x14ac:dyDescent="0.25">
      <c r="A144" s="16"/>
      <c r="B144" s="16"/>
      <c r="C144" s="16"/>
      <c r="D144" s="18" t="str">
        <f>IF(C144="","",IFERROR(INDEX(Artistes!$B$2:$B$301,MATCH(C144,Artistes!$A$2:$A$301,0)),"ID inconnu"))</f>
        <v/>
      </c>
      <c r="E144" s="16"/>
      <c r="F144" s="16"/>
      <c r="G144" s="16"/>
      <c r="H144" s="16"/>
      <c r="I144" s="16"/>
      <c r="J144" s="16"/>
      <c r="K144" s="16"/>
      <c r="L144" s="16"/>
      <c r="M144" s="16"/>
      <c r="N144" s="18" t="str">
        <f t="shared" si="2"/>
        <v/>
      </c>
      <c r="O144" s="16"/>
      <c r="P144" s="18" t="str">
        <f>IF(C144="","",IFERROR(INDEX(Artistes!$M$2:$M$301,MATCH(C144,Artistes!$A$2:$A$301,0)),""))</f>
        <v/>
      </c>
      <c r="Q144" s="16"/>
    </row>
    <row r="145" spans="1:17" hidden="1" x14ac:dyDescent="0.25">
      <c r="A145" s="16"/>
      <c r="B145" s="16"/>
      <c r="C145" s="16"/>
      <c r="D145" s="18" t="str">
        <f>IF(C145="","",IFERROR(INDEX(Artistes!$B$2:$B$301,MATCH(C145,Artistes!$A$2:$A$301,0)),"ID inconnu"))</f>
        <v/>
      </c>
      <c r="E145" s="16"/>
      <c r="F145" s="16"/>
      <c r="G145" s="16"/>
      <c r="H145" s="16"/>
      <c r="I145" s="16"/>
      <c r="J145" s="16"/>
      <c r="K145" s="16"/>
      <c r="L145" s="16"/>
      <c r="M145" s="16"/>
      <c r="N145" s="18" t="str">
        <f t="shared" si="2"/>
        <v/>
      </c>
      <c r="O145" s="16"/>
      <c r="P145" s="18" t="str">
        <f>IF(C145="","",IFERROR(INDEX(Artistes!$M$2:$M$301,MATCH(C145,Artistes!$A$2:$A$301,0)),""))</f>
        <v/>
      </c>
      <c r="Q145" s="16"/>
    </row>
    <row r="146" spans="1:17" hidden="1" x14ac:dyDescent="0.25">
      <c r="A146" s="16"/>
      <c r="B146" s="16"/>
      <c r="C146" s="16"/>
      <c r="D146" s="18" t="str">
        <f>IF(C146="","",IFERROR(INDEX(Artistes!$B$2:$B$301,MATCH(C146,Artistes!$A$2:$A$301,0)),"ID inconnu"))</f>
        <v/>
      </c>
      <c r="E146" s="16"/>
      <c r="F146" s="16"/>
      <c r="G146" s="16"/>
      <c r="H146" s="16"/>
      <c r="I146" s="16"/>
      <c r="J146" s="16"/>
      <c r="K146" s="16"/>
      <c r="L146" s="16"/>
      <c r="M146" s="16"/>
      <c r="N146" s="18" t="str">
        <f t="shared" si="2"/>
        <v/>
      </c>
      <c r="O146" s="16"/>
      <c r="P146" s="18" t="str">
        <f>IF(C146="","",IFERROR(INDEX(Artistes!$M$2:$M$301,MATCH(C146,Artistes!$A$2:$A$301,0)),""))</f>
        <v/>
      </c>
      <c r="Q146" s="16"/>
    </row>
    <row r="147" spans="1:17" hidden="1" x14ac:dyDescent="0.25">
      <c r="A147" s="16"/>
      <c r="B147" s="16"/>
      <c r="C147" s="16"/>
      <c r="D147" s="18" t="str">
        <f>IF(C147="","",IFERROR(INDEX(Artistes!$B$2:$B$301,MATCH(C147,Artistes!$A$2:$A$301,0)),"ID inconnu"))</f>
        <v/>
      </c>
      <c r="E147" s="16"/>
      <c r="F147" s="16"/>
      <c r="G147" s="16"/>
      <c r="H147" s="16"/>
      <c r="I147" s="16"/>
      <c r="J147" s="16"/>
      <c r="K147" s="16"/>
      <c r="L147" s="16"/>
      <c r="M147" s="16"/>
      <c r="N147" s="18" t="str">
        <f t="shared" si="2"/>
        <v/>
      </c>
      <c r="O147" s="16"/>
      <c r="P147" s="18" t="str">
        <f>IF(C147="","",IFERROR(INDEX(Artistes!$M$2:$M$301,MATCH(C147,Artistes!$A$2:$A$301,0)),""))</f>
        <v/>
      </c>
      <c r="Q147" s="16"/>
    </row>
    <row r="148" spans="1:17" hidden="1" x14ac:dyDescent="0.25">
      <c r="A148" s="16"/>
      <c r="B148" s="16"/>
      <c r="C148" s="16"/>
      <c r="D148" s="18" t="str">
        <f>IF(C148="","",IFERROR(INDEX(Artistes!$B$2:$B$301,MATCH(C148,Artistes!$A$2:$A$301,0)),"ID inconnu"))</f>
        <v/>
      </c>
      <c r="E148" s="16"/>
      <c r="F148" s="16"/>
      <c r="G148" s="16"/>
      <c r="H148" s="16"/>
      <c r="I148" s="16"/>
      <c r="J148" s="16"/>
      <c r="K148" s="16"/>
      <c r="L148" s="16"/>
      <c r="M148" s="16"/>
      <c r="N148" s="18" t="str">
        <f t="shared" si="2"/>
        <v/>
      </c>
      <c r="O148" s="16"/>
      <c r="P148" s="18" t="str">
        <f>IF(C148="","",IFERROR(INDEX(Artistes!$M$2:$M$301,MATCH(C148,Artistes!$A$2:$A$301,0)),""))</f>
        <v/>
      </c>
      <c r="Q148" s="16"/>
    </row>
    <row r="149" spans="1:17" hidden="1" x14ac:dyDescent="0.25">
      <c r="A149" s="16"/>
      <c r="B149" s="16"/>
      <c r="C149" s="16"/>
      <c r="D149" s="18" t="str">
        <f>IF(C149="","",IFERROR(INDEX(Artistes!$B$2:$B$301,MATCH(C149,Artistes!$A$2:$A$301,0)),"ID inconnu"))</f>
        <v/>
      </c>
      <c r="E149" s="16"/>
      <c r="F149" s="16"/>
      <c r="G149" s="16"/>
      <c r="H149" s="16"/>
      <c r="I149" s="16"/>
      <c r="J149" s="16"/>
      <c r="K149" s="16"/>
      <c r="L149" s="16"/>
      <c r="M149" s="16"/>
      <c r="N149" s="18" t="str">
        <f t="shared" si="2"/>
        <v/>
      </c>
      <c r="O149" s="16"/>
      <c r="P149" s="18" t="str">
        <f>IF(C149="","",IFERROR(INDEX(Artistes!$M$2:$M$301,MATCH(C149,Artistes!$A$2:$A$301,0)),""))</f>
        <v/>
      </c>
      <c r="Q149" s="16"/>
    </row>
    <row r="150" spans="1:17" hidden="1" x14ac:dyDescent="0.25">
      <c r="A150" s="16"/>
      <c r="B150" s="16"/>
      <c r="C150" s="16"/>
      <c r="D150" s="18" t="str">
        <f>IF(C150="","",IFERROR(INDEX(Artistes!$B$2:$B$301,MATCH(C150,Artistes!$A$2:$A$301,0)),"ID inconnu"))</f>
        <v/>
      </c>
      <c r="E150" s="16"/>
      <c r="F150" s="16"/>
      <c r="G150" s="16"/>
      <c r="H150" s="16"/>
      <c r="I150" s="16"/>
      <c r="J150" s="16"/>
      <c r="K150" s="16"/>
      <c r="L150" s="16"/>
      <c r="M150" s="16"/>
      <c r="N150" s="18" t="str">
        <f t="shared" si="2"/>
        <v/>
      </c>
      <c r="O150" s="16"/>
      <c r="P150" s="18" t="str">
        <f>IF(C150="","",IFERROR(INDEX(Artistes!$M$2:$M$301,MATCH(C150,Artistes!$A$2:$A$301,0)),""))</f>
        <v/>
      </c>
      <c r="Q150" s="16"/>
    </row>
    <row r="151" spans="1:17" hidden="1" x14ac:dyDescent="0.25">
      <c r="A151" s="16"/>
      <c r="B151" s="16"/>
      <c r="C151" s="16"/>
      <c r="D151" s="18" t="str">
        <f>IF(C151="","",IFERROR(INDEX(Artistes!$B$2:$B$301,MATCH(C151,Artistes!$A$2:$A$301,0)),"ID inconnu"))</f>
        <v/>
      </c>
      <c r="E151" s="16"/>
      <c r="F151" s="16"/>
      <c r="G151" s="16"/>
      <c r="H151" s="16"/>
      <c r="I151" s="16"/>
      <c r="J151" s="16"/>
      <c r="K151" s="16"/>
      <c r="L151" s="16"/>
      <c r="M151" s="16"/>
      <c r="N151" s="18" t="str">
        <f t="shared" si="2"/>
        <v/>
      </c>
      <c r="O151" s="16"/>
      <c r="P151" s="18" t="str">
        <f>IF(C151="","",IFERROR(INDEX(Artistes!$M$2:$M$301,MATCH(C151,Artistes!$A$2:$A$301,0)),""))</f>
        <v/>
      </c>
      <c r="Q151" s="16"/>
    </row>
    <row r="152" spans="1:17" hidden="1" x14ac:dyDescent="0.25">
      <c r="A152" s="16"/>
      <c r="B152" s="16"/>
      <c r="C152" s="16"/>
      <c r="D152" s="18" t="str">
        <f>IF(C152="","",IFERROR(INDEX(Artistes!$B$2:$B$301,MATCH(C152,Artistes!$A$2:$A$301,0)),"ID inconnu"))</f>
        <v/>
      </c>
      <c r="E152" s="16"/>
      <c r="F152" s="16"/>
      <c r="G152" s="16"/>
      <c r="H152" s="16"/>
      <c r="I152" s="16"/>
      <c r="J152" s="16"/>
      <c r="K152" s="16"/>
      <c r="L152" s="16"/>
      <c r="M152" s="16"/>
      <c r="N152" s="18" t="str">
        <f t="shared" si="2"/>
        <v/>
      </c>
      <c r="O152" s="16"/>
      <c r="P152" s="18" t="str">
        <f>IF(C152="","",IFERROR(INDEX(Artistes!$M$2:$M$301,MATCH(C152,Artistes!$A$2:$A$301,0)),""))</f>
        <v/>
      </c>
      <c r="Q152" s="16"/>
    </row>
    <row r="153" spans="1:17" hidden="1" x14ac:dyDescent="0.25">
      <c r="A153" s="16"/>
      <c r="B153" s="16"/>
      <c r="C153" s="16"/>
      <c r="D153" s="18" t="str">
        <f>IF(C153="","",IFERROR(INDEX(Artistes!$B$2:$B$301,MATCH(C153,Artistes!$A$2:$A$301,0)),"ID inconnu"))</f>
        <v/>
      </c>
      <c r="E153" s="16"/>
      <c r="F153" s="16"/>
      <c r="G153" s="16"/>
      <c r="H153" s="16"/>
      <c r="I153" s="16"/>
      <c r="J153" s="16"/>
      <c r="K153" s="16"/>
      <c r="L153" s="16"/>
      <c r="M153" s="16"/>
      <c r="N153" s="18" t="str">
        <f t="shared" si="2"/>
        <v/>
      </c>
      <c r="O153" s="16"/>
      <c r="P153" s="18" t="str">
        <f>IF(C153="","",IFERROR(INDEX(Artistes!$M$2:$M$301,MATCH(C153,Artistes!$A$2:$A$301,0)),""))</f>
        <v/>
      </c>
      <c r="Q153" s="16"/>
    </row>
    <row r="154" spans="1:17" hidden="1" x14ac:dyDescent="0.25">
      <c r="A154" s="16"/>
      <c r="B154" s="16"/>
      <c r="C154" s="16"/>
      <c r="D154" s="18" t="str">
        <f>IF(C154="","",IFERROR(INDEX(Artistes!$B$2:$B$301,MATCH(C154,Artistes!$A$2:$A$301,0)),"ID inconnu"))</f>
        <v/>
      </c>
      <c r="E154" s="16"/>
      <c r="F154" s="16"/>
      <c r="G154" s="16"/>
      <c r="H154" s="16"/>
      <c r="I154" s="16"/>
      <c r="J154" s="16"/>
      <c r="K154" s="16"/>
      <c r="L154" s="16"/>
      <c r="M154" s="16"/>
      <c r="N154" s="18" t="str">
        <f t="shared" si="2"/>
        <v/>
      </c>
      <c r="O154" s="16"/>
      <c r="P154" s="18" t="str">
        <f>IF(C154="","",IFERROR(INDEX(Artistes!$M$2:$M$301,MATCH(C154,Artistes!$A$2:$A$301,0)),""))</f>
        <v/>
      </c>
      <c r="Q154" s="16"/>
    </row>
    <row r="155" spans="1:17" hidden="1" x14ac:dyDescent="0.25">
      <c r="A155" s="16"/>
      <c r="B155" s="16"/>
      <c r="C155" s="16"/>
      <c r="D155" s="18" t="str">
        <f>IF(C155="","",IFERROR(INDEX(Artistes!$B$2:$B$301,MATCH(C155,Artistes!$A$2:$A$301,0)),"ID inconnu"))</f>
        <v/>
      </c>
      <c r="E155" s="16"/>
      <c r="F155" s="16"/>
      <c r="G155" s="16"/>
      <c r="H155" s="16"/>
      <c r="I155" s="16"/>
      <c r="J155" s="16"/>
      <c r="K155" s="16"/>
      <c r="L155" s="16"/>
      <c r="M155" s="16"/>
      <c r="N155" s="18" t="str">
        <f t="shared" si="2"/>
        <v/>
      </c>
      <c r="O155" s="16"/>
      <c r="P155" s="18" t="str">
        <f>IF(C155="","",IFERROR(INDEX(Artistes!$M$2:$M$301,MATCH(C155,Artistes!$A$2:$A$301,0)),""))</f>
        <v/>
      </c>
      <c r="Q155" s="16"/>
    </row>
    <row r="156" spans="1:17" hidden="1" x14ac:dyDescent="0.25">
      <c r="A156" s="16"/>
      <c r="B156" s="16"/>
      <c r="C156" s="16"/>
      <c r="D156" s="18" t="str">
        <f>IF(C156="","",IFERROR(INDEX(Artistes!$B$2:$B$301,MATCH(C156,Artistes!$A$2:$A$301,0)),"ID inconnu"))</f>
        <v/>
      </c>
      <c r="E156" s="16"/>
      <c r="F156" s="16"/>
      <c r="G156" s="16"/>
      <c r="H156" s="16"/>
      <c r="I156" s="16"/>
      <c r="J156" s="16"/>
      <c r="K156" s="16"/>
      <c r="L156" s="16"/>
      <c r="M156" s="16"/>
      <c r="N156" s="18" t="str">
        <f t="shared" si="2"/>
        <v/>
      </c>
      <c r="O156" s="16"/>
      <c r="P156" s="18" t="str">
        <f>IF(C156="","",IFERROR(INDEX(Artistes!$M$2:$M$301,MATCH(C156,Artistes!$A$2:$A$301,0)),""))</f>
        <v/>
      </c>
      <c r="Q156" s="16"/>
    </row>
    <row r="157" spans="1:17" hidden="1" x14ac:dyDescent="0.25">
      <c r="A157" s="16"/>
      <c r="B157" s="16"/>
      <c r="C157" s="16"/>
      <c r="D157" s="18" t="str">
        <f>IF(C157="","",IFERROR(INDEX(Artistes!$B$2:$B$301,MATCH(C157,Artistes!$A$2:$A$301,0)),"ID inconnu"))</f>
        <v/>
      </c>
      <c r="E157" s="16"/>
      <c r="F157" s="16"/>
      <c r="G157" s="16"/>
      <c r="H157" s="16"/>
      <c r="I157" s="16"/>
      <c r="J157" s="16"/>
      <c r="K157" s="16"/>
      <c r="L157" s="16"/>
      <c r="M157" s="16"/>
      <c r="N157" s="18" t="str">
        <f t="shared" si="2"/>
        <v/>
      </c>
      <c r="O157" s="16"/>
      <c r="P157" s="18" t="str">
        <f>IF(C157="","",IFERROR(INDEX(Artistes!$M$2:$M$301,MATCH(C157,Artistes!$A$2:$A$301,0)),""))</f>
        <v/>
      </c>
      <c r="Q157" s="16"/>
    </row>
    <row r="158" spans="1:17" hidden="1" x14ac:dyDescent="0.25">
      <c r="A158" s="16"/>
      <c r="B158" s="16"/>
      <c r="C158" s="16"/>
      <c r="D158" s="18" t="str">
        <f>IF(C158="","",IFERROR(INDEX(Artistes!$B$2:$B$301,MATCH(C158,Artistes!$A$2:$A$301,0)),"ID inconnu"))</f>
        <v/>
      </c>
      <c r="E158" s="16"/>
      <c r="F158" s="16"/>
      <c r="G158" s="16"/>
      <c r="H158" s="16"/>
      <c r="I158" s="16"/>
      <c r="J158" s="16"/>
      <c r="K158" s="16"/>
      <c r="L158" s="16"/>
      <c r="M158" s="16"/>
      <c r="N158" s="18" t="str">
        <f t="shared" si="2"/>
        <v/>
      </c>
      <c r="O158" s="16"/>
      <c r="P158" s="18" t="str">
        <f>IF(C158="","",IFERROR(INDEX(Artistes!$M$2:$M$301,MATCH(C158,Artistes!$A$2:$A$301,0)),""))</f>
        <v/>
      </c>
      <c r="Q158" s="16"/>
    </row>
    <row r="159" spans="1:17" hidden="1" x14ac:dyDescent="0.25">
      <c r="A159" s="16"/>
      <c r="B159" s="16"/>
      <c r="C159" s="16"/>
      <c r="D159" s="18" t="str">
        <f>IF(C159="","",IFERROR(INDEX(Artistes!$B$2:$B$301,MATCH(C159,Artistes!$A$2:$A$301,0)),"ID inconnu"))</f>
        <v/>
      </c>
      <c r="E159" s="16"/>
      <c r="F159" s="16"/>
      <c r="G159" s="16"/>
      <c r="H159" s="16"/>
      <c r="I159" s="16"/>
      <c r="J159" s="16"/>
      <c r="K159" s="16"/>
      <c r="L159" s="16"/>
      <c r="M159" s="16"/>
      <c r="N159" s="18" t="str">
        <f t="shared" si="2"/>
        <v/>
      </c>
      <c r="O159" s="16"/>
      <c r="P159" s="18" t="str">
        <f>IF(C159="","",IFERROR(INDEX(Artistes!$M$2:$M$301,MATCH(C159,Artistes!$A$2:$A$301,0)),""))</f>
        <v/>
      </c>
      <c r="Q159" s="16"/>
    </row>
    <row r="160" spans="1:17" hidden="1" x14ac:dyDescent="0.25">
      <c r="A160" s="16"/>
      <c r="B160" s="16"/>
      <c r="C160" s="16"/>
      <c r="D160" s="18" t="str">
        <f>IF(C160="","",IFERROR(INDEX(Artistes!$B$2:$B$301,MATCH(C160,Artistes!$A$2:$A$301,0)),"ID inconnu"))</f>
        <v/>
      </c>
      <c r="E160" s="16"/>
      <c r="F160" s="16"/>
      <c r="G160" s="16"/>
      <c r="H160" s="16"/>
      <c r="I160" s="16"/>
      <c r="J160" s="16"/>
      <c r="K160" s="16"/>
      <c r="L160" s="16"/>
      <c r="M160" s="16"/>
      <c r="N160" s="18" t="str">
        <f t="shared" si="2"/>
        <v/>
      </c>
      <c r="O160" s="16"/>
      <c r="P160" s="18" t="str">
        <f>IF(C160="","",IFERROR(INDEX(Artistes!$M$2:$M$301,MATCH(C160,Artistes!$A$2:$A$301,0)),""))</f>
        <v/>
      </c>
      <c r="Q160" s="16"/>
    </row>
    <row r="161" spans="1:17" hidden="1" x14ac:dyDescent="0.25">
      <c r="A161" s="16"/>
      <c r="B161" s="16"/>
      <c r="C161" s="16"/>
      <c r="D161" s="18" t="str">
        <f>IF(C161="","",IFERROR(INDEX(Artistes!$B$2:$B$301,MATCH(C161,Artistes!$A$2:$A$301,0)),"ID inconnu"))</f>
        <v/>
      </c>
      <c r="E161" s="16"/>
      <c r="F161" s="16"/>
      <c r="G161" s="16"/>
      <c r="H161" s="16"/>
      <c r="I161" s="16"/>
      <c r="J161" s="16"/>
      <c r="K161" s="16"/>
      <c r="L161" s="16"/>
      <c r="M161" s="16"/>
      <c r="N161" s="18" t="str">
        <f t="shared" si="2"/>
        <v/>
      </c>
      <c r="O161" s="16"/>
      <c r="P161" s="18" t="str">
        <f>IF(C161="","",IFERROR(INDEX(Artistes!$M$2:$M$301,MATCH(C161,Artistes!$A$2:$A$301,0)),""))</f>
        <v/>
      </c>
      <c r="Q161" s="16"/>
    </row>
    <row r="162" spans="1:17" hidden="1" x14ac:dyDescent="0.25">
      <c r="A162" s="16"/>
      <c r="B162" s="16"/>
      <c r="C162" s="16"/>
      <c r="D162" s="18" t="str">
        <f>IF(C162="","",IFERROR(INDEX(Artistes!$B$2:$B$301,MATCH(C162,Artistes!$A$2:$A$301,0)),"ID inconnu"))</f>
        <v/>
      </c>
      <c r="E162" s="16"/>
      <c r="F162" s="16"/>
      <c r="G162" s="16"/>
      <c r="H162" s="16"/>
      <c r="I162" s="16"/>
      <c r="J162" s="16"/>
      <c r="K162" s="16"/>
      <c r="L162" s="16"/>
      <c r="M162" s="16"/>
      <c r="N162" s="18" t="str">
        <f t="shared" si="2"/>
        <v/>
      </c>
      <c r="O162" s="16"/>
      <c r="P162" s="18" t="str">
        <f>IF(C162="","",IFERROR(INDEX(Artistes!$M$2:$M$301,MATCH(C162,Artistes!$A$2:$A$301,0)),""))</f>
        <v/>
      </c>
      <c r="Q162" s="16"/>
    </row>
    <row r="163" spans="1:17" hidden="1" x14ac:dyDescent="0.25">
      <c r="A163" s="16"/>
      <c r="B163" s="16"/>
      <c r="C163" s="16"/>
      <c r="D163" s="18" t="str">
        <f>IF(C163="","",IFERROR(INDEX(Artistes!$B$2:$B$301,MATCH(C163,Artistes!$A$2:$A$301,0)),"ID inconnu"))</f>
        <v/>
      </c>
      <c r="E163" s="16"/>
      <c r="F163" s="16"/>
      <c r="G163" s="16"/>
      <c r="H163" s="16"/>
      <c r="I163" s="16"/>
      <c r="J163" s="16"/>
      <c r="K163" s="16"/>
      <c r="L163" s="16"/>
      <c r="M163" s="16"/>
      <c r="N163" s="18" t="str">
        <f t="shared" si="2"/>
        <v/>
      </c>
      <c r="O163" s="16"/>
      <c r="P163" s="18" t="str">
        <f>IF(C163="","",IFERROR(INDEX(Artistes!$M$2:$M$301,MATCH(C163,Artistes!$A$2:$A$301,0)),""))</f>
        <v/>
      </c>
      <c r="Q163" s="16"/>
    </row>
    <row r="164" spans="1:17" hidden="1" x14ac:dyDescent="0.25">
      <c r="A164" s="16"/>
      <c r="B164" s="16"/>
      <c r="C164" s="16"/>
      <c r="D164" s="18" t="str">
        <f>IF(C164="","",IFERROR(INDEX(Artistes!$B$2:$B$301,MATCH(C164,Artistes!$A$2:$A$301,0)),"ID inconnu"))</f>
        <v/>
      </c>
      <c r="E164" s="16"/>
      <c r="F164" s="16"/>
      <c r="G164" s="16"/>
      <c r="H164" s="16"/>
      <c r="I164" s="16"/>
      <c r="J164" s="16"/>
      <c r="K164" s="16"/>
      <c r="L164" s="16"/>
      <c r="M164" s="16"/>
      <c r="N164" s="18" t="str">
        <f t="shared" si="2"/>
        <v/>
      </c>
      <c r="O164" s="16"/>
      <c r="P164" s="18" t="str">
        <f>IF(C164="","",IFERROR(INDEX(Artistes!$M$2:$M$301,MATCH(C164,Artistes!$A$2:$A$301,0)),""))</f>
        <v/>
      </c>
      <c r="Q164" s="16"/>
    </row>
    <row r="165" spans="1:17" hidden="1" x14ac:dyDescent="0.25">
      <c r="A165" s="16"/>
      <c r="B165" s="16"/>
      <c r="C165" s="16"/>
      <c r="D165" s="18" t="str">
        <f>IF(C165="","",IFERROR(INDEX(Artistes!$B$2:$B$301,MATCH(C165,Artistes!$A$2:$A$301,0)),"ID inconnu"))</f>
        <v/>
      </c>
      <c r="E165" s="16"/>
      <c r="F165" s="16"/>
      <c r="G165" s="16"/>
      <c r="H165" s="16"/>
      <c r="I165" s="16"/>
      <c r="J165" s="16"/>
      <c r="K165" s="16"/>
      <c r="L165" s="16"/>
      <c r="M165" s="16"/>
      <c r="N165" s="18" t="str">
        <f t="shared" si="2"/>
        <v/>
      </c>
      <c r="O165" s="16"/>
      <c r="P165" s="18" t="str">
        <f>IF(C165="","",IFERROR(INDEX(Artistes!$M$2:$M$301,MATCH(C165,Artistes!$A$2:$A$301,0)),""))</f>
        <v/>
      </c>
      <c r="Q165" s="16"/>
    </row>
    <row r="166" spans="1:17" hidden="1" x14ac:dyDescent="0.25">
      <c r="A166" s="16"/>
      <c r="B166" s="16"/>
      <c r="C166" s="16"/>
      <c r="D166" s="18" t="str">
        <f>IF(C166="","",IFERROR(INDEX(Artistes!$B$2:$B$301,MATCH(C166,Artistes!$A$2:$A$301,0)),"ID inconnu"))</f>
        <v/>
      </c>
      <c r="E166" s="16"/>
      <c r="F166" s="16"/>
      <c r="G166" s="16"/>
      <c r="H166" s="16"/>
      <c r="I166" s="16"/>
      <c r="J166" s="16"/>
      <c r="K166" s="16"/>
      <c r="L166" s="16"/>
      <c r="M166" s="16"/>
      <c r="N166" s="18" t="str">
        <f t="shared" si="2"/>
        <v/>
      </c>
      <c r="O166" s="16"/>
      <c r="P166" s="18" t="str">
        <f>IF(C166="","",IFERROR(INDEX(Artistes!$M$2:$M$301,MATCH(C166,Artistes!$A$2:$A$301,0)),""))</f>
        <v/>
      </c>
      <c r="Q166" s="16"/>
    </row>
    <row r="167" spans="1:17" hidden="1" x14ac:dyDescent="0.25">
      <c r="A167" s="16"/>
      <c r="B167" s="16"/>
      <c r="C167" s="16"/>
      <c r="D167" s="18" t="str">
        <f>IF(C167="","",IFERROR(INDEX(Artistes!$B$2:$B$301,MATCH(C167,Artistes!$A$2:$A$301,0)),"ID inconnu"))</f>
        <v/>
      </c>
      <c r="E167" s="16"/>
      <c r="F167" s="16"/>
      <c r="G167" s="16"/>
      <c r="H167" s="16"/>
      <c r="I167" s="16"/>
      <c r="J167" s="16"/>
      <c r="K167" s="16"/>
      <c r="L167" s="16"/>
      <c r="M167" s="16"/>
      <c r="N167" s="18" t="str">
        <f t="shared" si="2"/>
        <v/>
      </c>
      <c r="O167" s="16"/>
      <c r="P167" s="18" t="str">
        <f>IF(C167="","",IFERROR(INDEX(Artistes!$M$2:$M$301,MATCH(C167,Artistes!$A$2:$A$301,0)),""))</f>
        <v/>
      </c>
      <c r="Q167" s="16"/>
    </row>
    <row r="168" spans="1:17" hidden="1" x14ac:dyDescent="0.25">
      <c r="A168" s="16"/>
      <c r="B168" s="16"/>
      <c r="C168" s="16"/>
      <c r="D168" s="18" t="str">
        <f>IF(C168="","",IFERROR(INDEX(Artistes!$B$2:$B$301,MATCH(C168,Artistes!$A$2:$A$301,0)),"ID inconnu"))</f>
        <v/>
      </c>
      <c r="E168" s="16"/>
      <c r="F168" s="16"/>
      <c r="G168" s="16"/>
      <c r="H168" s="16"/>
      <c r="I168" s="16"/>
      <c r="J168" s="16"/>
      <c r="K168" s="16"/>
      <c r="L168" s="16"/>
      <c r="M168" s="16"/>
      <c r="N168" s="18" t="str">
        <f t="shared" si="2"/>
        <v/>
      </c>
      <c r="O168" s="16"/>
      <c r="P168" s="18" t="str">
        <f>IF(C168="","",IFERROR(INDEX(Artistes!$M$2:$M$301,MATCH(C168,Artistes!$A$2:$A$301,0)),""))</f>
        <v/>
      </c>
      <c r="Q168" s="16"/>
    </row>
    <row r="169" spans="1:17" hidden="1" x14ac:dyDescent="0.25">
      <c r="A169" s="16"/>
      <c r="B169" s="16"/>
      <c r="C169" s="16"/>
      <c r="D169" s="18" t="str">
        <f>IF(C169="","",IFERROR(INDEX(Artistes!$B$2:$B$301,MATCH(C169,Artistes!$A$2:$A$301,0)),"ID inconnu"))</f>
        <v/>
      </c>
      <c r="E169" s="16"/>
      <c r="F169" s="16"/>
      <c r="G169" s="16"/>
      <c r="H169" s="16"/>
      <c r="I169" s="16"/>
      <c r="J169" s="16"/>
      <c r="K169" s="16"/>
      <c r="L169" s="16"/>
      <c r="M169" s="16"/>
      <c r="N169" s="18" t="str">
        <f t="shared" si="2"/>
        <v/>
      </c>
      <c r="O169" s="16"/>
      <c r="P169" s="18" t="str">
        <f>IF(C169="","",IFERROR(INDEX(Artistes!$M$2:$M$301,MATCH(C169,Artistes!$A$2:$A$301,0)),""))</f>
        <v/>
      </c>
      <c r="Q169" s="16"/>
    </row>
    <row r="170" spans="1:17" hidden="1" x14ac:dyDescent="0.25">
      <c r="A170" s="16"/>
      <c r="B170" s="16"/>
      <c r="C170" s="16"/>
      <c r="D170" s="18" t="str">
        <f>IF(C170="","",IFERROR(INDEX(Artistes!$B$2:$B$301,MATCH(C170,Artistes!$A$2:$A$301,0)),"ID inconnu"))</f>
        <v/>
      </c>
      <c r="E170" s="16"/>
      <c r="F170" s="16"/>
      <c r="G170" s="16"/>
      <c r="H170" s="16"/>
      <c r="I170" s="16"/>
      <c r="J170" s="16"/>
      <c r="K170" s="16"/>
      <c r="L170" s="16"/>
      <c r="M170" s="16"/>
      <c r="N170" s="18" t="str">
        <f t="shared" si="2"/>
        <v/>
      </c>
      <c r="O170" s="16"/>
      <c r="P170" s="18" t="str">
        <f>IF(C170="","",IFERROR(INDEX(Artistes!$M$2:$M$301,MATCH(C170,Artistes!$A$2:$A$301,0)),""))</f>
        <v/>
      </c>
      <c r="Q170" s="16"/>
    </row>
    <row r="171" spans="1:17" hidden="1" x14ac:dyDescent="0.25">
      <c r="A171" s="16"/>
      <c r="B171" s="16"/>
      <c r="C171" s="16"/>
      <c r="D171" s="18" t="str">
        <f>IF(C171="","",IFERROR(INDEX(Artistes!$B$2:$B$301,MATCH(C171,Artistes!$A$2:$A$301,0)),"ID inconnu"))</f>
        <v/>
      </c>
      <c r="E171" s="16"/>
      <c r="F171" s="16"/>
      <c r="G171" s="16"/>
      <c r="H171" s="16"/>
      <c r="I171" s="16"/>
      <c r="J171" s="16"/>
      <c r="K171" s="16"/>
      <c r="L171" s="16"/>
      <c r="M171" s="16"/>
      <c r="N171" s="18" t="str">
        <f t="shared" si="2"/>
        <v/>
      </c>
      <c r="O171" s="16"/>
      <c r="P171" s="18" t="str">
        <f>IF(C171="","",IFERROR(INDEX(Artistes!$M$2:$M$301,MATCH(C171,Artistes!$A$2:$A$301,0)),""))</f>
        <v/>
      </c>
      <c r="Q171" s="16"/>
    </row>
    <row r="172" spans="1:17" hidden="1" x14ac:dyDescent="0.25">
      <c r="A172" s="16"/>
      <c r="B172" s="16"/>
      <c r="C172" s="16"/>
      <c r="D172" s="18" t="str">
        <f>IF(C172="","",IFERROR(INDEX(Artistes!$B$2:$B$301,MATCH(C172,Artistes!$A$2:$A$301,0)),"ID inconnu"))</f>
        <v/>
      </c>
      <c r="E172" s="16"/>
      <c r="F172" s="16"/>
      <c r="G172" s="16"/>
      <c r="H172" s="16"/>
      <c r="I172" s="16"/>
      <c r="J172" s="16"/>
      <c r="K172" s="16"/>
      <c r="L172" s="16"/>
      <c r="M172" s="16"/>
      <c r="N172" s="18" t="str">
        <f t="shared" si="2"/>
        <v/>
      </c>
      <c r="O172" s="16"/>
      <c r="P172" s="18" t="str">
        <f>IF(C172="","",IFERROR(INDEX(Artistes!$M$2:$M$301,MATCH(C172,Artistes!$A$2:$A$301,0)),""))</f>
        <v/>
      </c>
      <c r="Q172" s="16"/>
    </row>
    <row r="173" spans="1:17" hidden="1" x14ac:dyDescent="0.25">
      <c r="A173" s="16"/>
      <c r="B173" s="16"/>
      <c r="C173" s="16"/>
      <c r="D173" s="18" t="str">
        <f>IF(C173="","",IFERROR(INDEX(Artistes!$B$2:$B$301,MATCH(C173,Artistes!$A$2:$A$301,0)),"ID inconnu"))</f>
        <v/>
      </c>
      <c r="E173" s="16"/>
      <c r="F173" s="16"/>
      <c r="G173" s="16"/>
      <c r="H173" s="16"/>
      <c r="I173" s="16"/>
      <c r="J173" s="16"/>
      <c r="K173" s="16"/>
      <c r="L173" s="16"/>
      <c r="M173" s="16"/>
      <c r="N173" s="18" t="str">
        <f t="shared" si="2"/>
        <v/>
      </c>
      <c r="O173" s="16"/>
      <c r="P173" s="18" t="str">
        <f>IF(C173="","",IFERROR(INDEX(Artistes!$M$2:$M$301,MATCH(C173,Artistes!$A$2:$A$301,0)),""))</f>
        <v/>
      </c>
      <c r="Q173" s="16"/>
    </row>
    <row r="174" spans="1:17" hidden="1" x14ac:dyDescent="0.25">
      <c r="A174" s="16"/>
      <c r="B174" s="16"/>
      <c r="C174" s="16"/>
      <c r="D174" s="18" t="str">
        <f>IF(C174="","",IFERROR(INDEX(Artistes!$B$2:$B$301,MATCH(C174,Artistes!$A$2:$A$301,0)),"ID inconnu"))</f>
        <v/>
      </c>
      <c r="E174" s="16"/>
      <c r="F174" s="16"/>
      <c r="G174" s="16"/>
      <c r="H174" s="16"/>
      <c r="I174" s="16"/>
      <c r="J174" s="16"/>
      <c r="K174" s="16"/>
      <c r="L174" s="16"/>
      <c r="M174" s="16"/>
      <c r="N174" s="18" t="str">
        <f t="shared" si="2"/>
        <v/>
      </c>
      <c r="O174" s="16"/>
      <c r="P174" s="18" t="str">
        <f>IF(C174="","",IFERROR(INDEX(Artistes!$M$2:$M$301,MATCH(C174,Artistes!$A$2:$A$301,0)),""))</f>
        <v/>
      </c>
      <c r="Q174" s="16"/>
    </row>
    <row r="175" spans="1:17" hidden="1" x14ac:dyDescent="0.25">
      <c r="A175" s="16"/>
      <c r="B175" s="16"/>
      <c r="C175" s="16"/>
      <c r="D175" s="18" t="str">
        <f>IF(C175="","",IFERROR(INDEX(Artistes!$B$2:$B$301,MATCH(C175,Artistes!$A$2:$A$301,0)),"ID inconnu"))</f>
        <v/>
      </c>
      <c r="E175" s="16"/>
      <c r="F175" s="16"/>
      <c r="G175" s="16"/>
      <c r="H175" s="16"/>
      <c r="I175" s="16"/>
      <c r="J175" s="16"/>
      <c r="K175" s="16"/>
      <c r="L175" s="16"/>
      <c r="M175" s="16"/>
      <c r="N175" s="18" t="str">
        <f t="shared" si="2"/>
        <v/>
      </c>
      <c r="O175" s="16"/>
      <c r="P175" s="18" t="str">
        <f>IF(C175="","",IFERROR(INDEX(Artistes!$M$2:$M$301,MATCH(C175,Artistes!$A$2:$A$301,0)),""))</f>
        <v/>
      </c>
      <c r="Q175" s="16"/>
    </row>
    <row r="176" spans="1:17" hidden="1" x14ac:dyDescent="0.25">
      <c r="A176" s="16"/>
      <c r="B176" s="16"/>
      <c r="C176" s="16"/>
      <c r="D176" s="18" t="str">
        <f>IF(C176="","",IFERROR(INDEX(Artistes!$B$2:$B$301,MATCH(C176,Artistes!$A$2:$A$301,0)),"ID inconnu"))</f>
        <v/>
      </c>
      <c r="E176" s="16"/>
      <c r="F176" s="16"/>
      <c r="G176" s="16"/>
      <c r="H176" s="16"/>
      <c r="I176" s="16"/>
      <c r="J176" s="16"/>
      <c r="K176" s="16"/>
      <c r="L176" s="16"/>
      <c r="M176" s="16"/>
      <c r="N176" s="18" t="str">
        <f t="shared" si="2"/>
        <v/>
      </c>
      <c r="O176" s="16"/>
      <c r="P176" s="18" t="str">
        <f>IF(C176="","",IFERROR(INDEX(Artistes!$M$2:$M$301,MATCH(C176,Artistes!$A$2:$A$301,0)),""))</f>
        <v/>
      </c>
      <c r="Q176" s="16"/>
    </row>
    <row r="177" spans="1:17" hidden="1" x14ac:dyDescent="0.25">
      <c r="A177" s="16"/>
      <c r="B177" s="16"/>
      <c r="C177" s="16"/>
      <c r="D177" s="18" t="str">
        <f>IF(C177="","",IFERROR(INDEX(Artistes!$B$2:$B$301,MATCH(C177,Artistes!$A$2:$A$301,0)),"ID inconnu"))</f>
        <v/>
      </c>
      <c r="E177" s="16"/>
      <c r="F177" s="16"/>
      <c r="G177" s="16"/>
      <c r="H177" s="16"/>
      <c r="I177" s="16"/>
      <c r="J177" s="16"/>
      <c r="K177" s="16"/>
      <c r="L177" s="16"/>
      <c r="M177" s="16"/>
      <c r="N177" s="18" t="str">
        <f t="shared" si="2"/>
        <v/>
      </c>
      <c r="O177" s="16"/>
      <c r="P177" s="18" t="str">
        <f>IF(C177="","",IFERROR(INDEX(Artistes!$M$2:$M$301,MATCH(C177,Artistes!$A$2:$A$301,0)),""))</f>
        <v/>
      </c>
      <c r="Q177" s="16"/>
    </row>
    <row r="178" spans="1:17" hidden="1" x14ac:dyDescent="0.25">
      <c r="A178" s="16"/>
      <c r="B178" s="16"/>
      <c r="C178" s="16"/>
      <c r="D178" s="18" t="str">
        <f>IF(C178="","",IFERROR(INDEX(Artistes!$B$2:$B$301,MATCH(C178,Artistes!$A$2:$A$301,0)),"ID inconnu"))</f>
        <v/>
      </c>
      <c r="E178" s="16"/>
      <c r="F178" s="16"/>
      <c r="G178" s="16"/>
      <c r="H178" s="16"/>
      <c r="I178" s="16"/>
      <c r="J178" s="16"/>
      <c r="K178" s="16"/>
      <c r="L178" s="16"/>
      <c r="M178" s="16"/>
      <c r="N178" s="18" t="str">
        <f t="shared" si="2"/>
        <v/>
      </c>
      <c r="O178" s="16"/>
      <c r="P178" s="18" t="str">
        <f>IF(C178="","",IFERROR(INDEX(Artistes!$M$2:$M$301,MATCH(C178,Artistes!$A$2:$A$301,0)),""))</f>
        <v/>
      </c>
      <c r="Q178" s="16"/>
    </row>
    <row r="179" spans="1:17" hidden="1" x14ac:dyDescent="0.25">
      <c r="A179" s="16"/>
      <c r="B179" s="16"/>
      <c r="C179" s="16"/>
      <c r="D179" s="18" t="str">
        <f>IF(C179="","",IFERROR(INDEX(Artistes!$B$2:$B$301,MATCH(C179,Artistes!$A$2:$A$301,0)),"ID inconnu"))</f>
        <v/>
      </c>
      <c r="E179" s="16"/>
      <c r="F179" s="16"/>
      <c r="G179" s="16"/>
      <c r="H179" s="16"/>
      <c r="I179" s="16"/>
      <c r="J179" s="16"/>
      <c r="K179" s="16"/>
      <c r="L179" s="16"/>
      <c r="M179" s="16"/>
      <c r="N179" s="18" t="str">
        <f t="shared" si="2"/>
        <v/>
      </c>
      <c r="O179" s="16"/>
      <c r="P179" s="18" t="str">
        <f>IF(C179="","",IFERROR(INDEX(Artistes!$M$2:$M$301,MATCH(C179,Artistes!$A$2:$A$301,0)),""))</f>
        <v/>
      </c>
      <c r="Q179" s="16"/>
    </row>
    <row r="180" spans="1:17" hidden="1" x14ac:dyDescent="0.25">
      <c r="A180" s="16"/>
      <c r="B180" s="16"/>
      <c r="C180" s="16"/>
      <c r="D180" s="18" t="str">
        <f>IF(C180="","",IFERROR(INDEX(Artistes!$B$2:$B$301,MATCH(C180,Artistes!$A$2:$A$301,0)),"ID inconnu"))</f>
        <v/>
      </c>
      <c r="E180" s="16"/>
      <c r="F180" s="16"/>
      <c r="G180" s="16"/>
      <c r="H180" s="16"/>
      <c r="I180" s="16"/>
      <c r="J180" s="16"/>
      <c r="K180" s="16"/>
      <c r="L180" s="16"/>
      <c r="M180" s="16"/>
      <c r="N180" s="18" t="str">
        <f t="shared" si="2"/>
        <v/>
      </c>
      <c r="O180" s="16"/>
      <c r="P180" s="18" t="str">
        <f>IF(C180="","",IFERROR(INDEX(Artistes!$M$2:$M$301,MATCH(C180,Artistes!$A$2:$A$301,0)),""))</f>
        <v/>
      </c>
      <c r="Q180" s="16"/>
    </row>
    <row r="181" spans="1:17" hidden="1" x14ac:dyDescent="0.25">
      <c r="A181" s="16"/>
      <c r="B181" s="16"/>
      <c r="C181" s="16"/>
      <c r="D181" s="18" t="str">
        <f>IF(C181="","",IFERROR(INDEX(Artistes!$B$2:$B$301,MATCH(C181,Artistes!$A$2:$A$301,0)),"ID inconnu"))</f>
        <v/>
      </c>
      <c r="E181" s="16"/>
      <c r="F181" s="16"/>
      <c r="G181" s="16"/>
      <c r="H181" s="16"/>
      <c r="I181" s="16"/>
      <c r="J181" s="16"/>
      <c r="K181" s="16"/>
      <c r="L181" s="16"/>
      <c r="M181" s="16"/>
      <c r="N181" s="18" t="str">
        <f t="shared" si="2"/>
        <v/>
      </c>
      <c r="O181" s="16"/>
      <c r="P181" s="18" t="str">
        <f>IF(C181="","",IFERROR(INDEX(Artistes!$M$2:$M$301,MATCH(C181,Artistes!$A$2:$A$301,0)),""))</f>
        <v/>
      </c>
      <c r="Q181" s="16"/>
    </row>
    <row r="182" spans="1:17" hidden="1" x14ac:dyDescent="0.25">
      <c r="A182" s="16"/>
      <c r="B182" s="16"/>
      <c r="C182" s="16"/>
      <c r="D182" s="18" t="str">
        <f>IF(C182="","",IFERROR(INDEX(Artistes!$B$2:$B$301,MATCH(C182,Artistes!$A$2:$A$301,0)),"ID inconnu"))</f>
        <v/>
      </c>
      <c r="E182" s="16"/>
      <c r="F182" s="16"/>
      <c r="G182" s="16"/>
      <c r="H182" s="16"/>
      <c r="I182" s="16"/>
      <c r="J182" s="16"/>
      <c r="K182" s="16"/>
      <c r="L182" s="16"/>
      <c r="M182" s="16"/>
      <c r="N182" s="18" t="str">
        <f t="shared" si="2"/>
        <v/>
      </c>
      <c r="O182" s="16"/>
      <c r="P182" s="18" t="str">
        <f>IF(C182="","",IFERROR(INDEX(Artistes!$M$2:$M$301,MATCH(C182,Artistes!$A$2:$A$301,0)),""))</f>
        <v/>
      </c>
      <c r="Q182" s="16"/>
    </row>
    <row r="183" spans="1:17" hidden="1" x14ac:dyDescent="0.25">
      <c r="A183" s="16"/>
      <c r="B183" s="16"/>
      <c r="C183" s="16"/>
      <c r="D183" s="18" t="str">
        <f>IF(C183="","",IFERROR(INDEX(Artistes!$B$2:$B$301,MATCH(C183,Artistes!$A$2:$A$301,0)),"ID inconnu"))</f>
        <v/>
      </c>
      <c r="E183" s="16"/>
      <c r="F183" s="16"/>
      <c r="G183" s="16"/>
      <c r="H183" s="16"/>
      <c r="I183" s="16"/>
      <c r="J183" s="16"/>
      <c r="K183" s="16"/>
      <c r="L183" s="16"/>
      <c r="M183" s="16"/>
      <c r="N183" s="18" t="str">
        <f t="shared" si="2"/>
        <v/>
      </c>
      <c r="O183" s="16"/>
      <c r="P183" s="18" t="str">
        <f>IF(C183="","",IFERROR(INDEX(Artistes!$M$2:$M$301,MATCH(C183,Artistes!$A$2:$A$301,0)),""))</f>
        <v/>
      </c>
      <c r="Q183" s="16"/>
    </row>
    <row r="184" spans="1:17" hidden="1" x14ac:dyDescent="0.25">
      <c r="A184" s="16"/>
      <c r="B184" s="16"/>
      <c r="C184" s="16"/>
      <c r="D184" s="18" t="str">
        <f>IF(C184="","",IFERROR(INDEX(Artistes!$B$2:$B$301,MATCH(C184,Artistes!$A$2:$A$301,0)),"ID inconnu"))</f>
        <v/>
      </c>
      <c r="E184" s="16"/>
      <c r="F184" s="16"/>
      <c r="G184" s="16"/>
      <c r="H184" s="16"/>
      <c r="I184" s="16"/>
      <c r="J184" s="16"/>
      <c r="K184" s="16"/>
      <c r="L184" s="16"/>
      <c r="M184" s="16"/>
      <c r="N184" s="18" t="str">
        <f t="shared" si="2"/>
        <v/>
      </c>
      <c r="O184" s="16"/>
      <c r="P184" s="18" t="str">
        <f>IF(C184="","",IFERROR(INDEX(Artistes!$M$2:$M$301,MATCH(C184,Artistes!$A$2:$A$301,0)),""))</f>
        <v/>
      </c>
      <c r="Q184" s="16"/>
    </row>
    <row r="185" spans="1:17" hidden="1" x14ac:dyDescent="0.25">
      <c r="A185" s="16"/>
      <c r="B185" s="16"/>
      <c r="C185" s="16"/>
      <c r="D185" s="18" t="str">
        <f>IF(C185="","",IFERROR(INDEX(Artistes!$B$2:$B$301,MATCH(C185,Artistes!$A$2:$A$301,0)),"ID inconnu"))</f>
        <v/>
      </c>
      <c r="E185" s="16"/>
      <c r="F185" s="16"/>
      <c r="G185" s="16"/>
      <c r="H185" s="16"/>
      <c r="I185" s="16"/>
      <c r="J185" s="16"/>
      <c r="K185" s="16"/>
      <c r="L185" s="16"/>
      <c r="M185" s="16"/>
      <c r="N185" s="18" t="str">
        <f t="shared" si="2"/>
        <v/>
      </c>
      <c r="O185" s="16"/>
      <c r="P185" s="18" t="str">
        <f>IF(C185="","",IFERROR(INDEX(Artistes!$M$2:$M$301,MATCH(C185,Artistes!$A$2:$A$301,0)),""))</f>
        <v/>
      </c>
      <c r="Q185" s="16"/>
    </row>
    <row r="186" spans="1:17" hidden="1" x14ac:dyDescent="0.25">
      <c r="A186" s="16"/>
      <c r="B186" s="16"/>
      <c r="C186" s="16"/>
      <c r="D186" s="18" t="str">
        <f>IF(C186="","",IFERROR(INDEX(Artistes!$B$2:$B$301,MATCH(C186,Artistes!$A$2:$A$301,0)),"ID inconnu"))</f>
        <v/>
      </c>
      <c r="E186" s="16"/>
      <c r="F186" s="16"/>
      <c r="G186" s="16"/>
      <c r="H186" s="16"/>
      <c r="I186" s="16"/>
      <c r="J186" s="16"/>
      <c r="K186" s="16"/>
      <c r="L186" s="16"/>
      <c r="M186" s="16"/>
      <c r="N186" s="18" t="str">
        <f t="shared" si="2"/>
        <v/>
      </c>
      <c r="O186" s="16"/>
      <c r="P186" s="18" t="str">
        <f>IF(C186="","",IFERROR(INDEX(Artistes!$M$2:$M$301,MATCH(C186,Artistes!$A$2:$A$301,0)),""))</f>
        <v/>
      </c>
      <c r="Q186" s="16"/>
    </row>
    <row r="187" spans="1:17" hidden="1" x14ac:dyDescent="0.25">
      <c r="A187" s="16"/>
      <c r="B187" s="16"/>
      <c r="C187" s="16"/>
      <c r="D187" s="18" t="str">
        <f>IF(C187="","",IFERROR(INDEX(Artistes!$B$2:$B$301,MATCH(C187,Artistes!$A$2:$A$301,0)),"ID inconnu"))</f>
        <v/>
      </c>
      <c r="E187" s="16"/>
      <c r="F187" s="16"/>
      <c r="G187" s="16"/>
      <c r="H187" s="16"/>
      <c r="I187" s="16"/>
      <c r="J187" s="16"/>
      <c r="K187" s="16"/>
      <c r="L187" s="16"/>
      <c r="M187" s="16"/>
      <c r="N187" s="18" t="str">
        <f t="shared" si="2"/>
        <v/>
      </c>
      <c r="O187" s="16"/>
      <c r="P187" s="18" t="str">
        <f>IF(C187="","",IFERROR(INDEX(Artistes!$M$2:$M$301,MATCH(C187,Artistes!$A$2:$A$301,0)),""))</f>
        <v/>
      </c>
      <c r="Q187" s="16"/>
    </row>
    <row r="188" spans="1:17" hidden="1" x14ac:dyDescent="0.25">
      <c r="A188" s="16"/>
      <c r="B188" s="16"/>
      <c r="C188" s="16"/>
      <c r="D188" s="18" t="str">
        <f>IF(C188="","",IFERROR(INDEX(Artistes!$B$2:$B$301,MATCH(C188,Artistes!$A$2:$A$301,0)),"ID inconnu"))</f>
        <v/>
      </c>
      <c r="E188" s="16"/>
      <c r="F188" s="16"/>
      <c r="G188" s="16"/>
      <c r="H188" s="16"/>
      <c r="I188" s="16"/>
      <c r="J188" s="16"/>
      <c r="K188" s="16"/>
      <c r="L188" s="16"/>
      <c r="M188" s="16"/>
      <c r="N188" s="18" t="str">
        <f t="shared" si="2"/>
        <v/>
      </c>
      <c r="O188" s="16"/>
      <c r="P188" s="18" t="str">
        <f>IF(C188="","",IFERROR(INDEX(Artistes!$M$2:$M$301,MATCH(C188,Artistes!$A$2:$A$301,0)),""))</f>
        <v/>
      </c>
      <c r="Q188" s="16"/>
    </row>
    <row r="189" spans="1:17" hidden="1" x14ac:dyDescent="0.25">
      <c r="A189" s="16"/>
      <c r="B189" s="16"/>
      <c r="C189" s="16"/>
      <c r="D189" s="18" t="str">
        <f>IF(C189="","",IFERROR(INDEX(Artistes!$B$2:$B$301,MATCH(C189,Artistes!$A$2:$A$301,0)),"ID inconnu"))</f>
        <v/>
      </c>
      <c r="E189" s="16"/>
      <c r="F189" s="16"/>
      <c r="G189" s="16"/>
      <c r="H189" s="16"/>
      <c r="I189" s="16"/>
      <c r="J189" s="16"/>
      <c r="K189" s="16"/>
      <c r="L189" s="16"/>
      <c r="M189" s="16"/>
      <c r="N189" s="18" t="str">
        <f t="shared" si="2"/>
        <v/>
      </c>
      <c r="O189" s="16"/>
      <c r="P189" s="18" t="str">
        <f>IF(C189="","",IFERROR(INDEX(Artistes!$M$2:$M$301,MATCH(C189,Artistes!$A$2:$A$301,0)),""))</f>
        <v/>
      </c>
      <c r="Q189" s="16"/>
    </row>
    <row r="190" spans="1:17" hidden="1" x14ac:dyDescent="0.25">
      <c r="A190" s="16"/>
      <c r="B190" s="16"/>
      <c r="C190" s="16"/>
      <c r="D190" s="18" t="str">
        <f>IF(C190="","",IFERROR(INDEX(Artistes!$B$2:$B$301,MATCH(C190,Artistes!$A$2:$A$301,0)),"ID inconnu"))</f>
        <v/>
      </c>
      <c r="E190" s="16"/>
      <c r="F190" s="16"/>
      <c r="G190" s="16"/>
      <c r="H190" s="16"/>
      <c r="I190" s="16"/>
      <c r="J190" s="16"/>
      <c r="K190" s="16"/>
      <c r="L190" s="16"/>
      <c r="M190" s="16"/>
      <c r="N190" s="18" t="str">
        <f t="shared" si="2"/>
        <v/>
      </c>
      <c r="O190" s="16"/>
      <c r="P190" s="18" t="str">
        <f>IF(C190="","",IFERROR(INDEX(Artistes!$M$2:$M$301,MATCH(C190,Artistes!$A$2:$A$301,0)),""))</f>
        <v/>
      </c>
      <c r="Q190" s="16"/>
    </row>
    <row r="191" spans="1:17" hidden="1" x14ac:dyDescent="0.25">
      <c r="A191" s="16"/>
      <c r="B191" s="16"/>
      <c r="C191" s="16"/>
      <c r="D191" s="18" t="str">
        <f>IF(C191="","",IFERROR(INDEX(Artistes!$B$2:$B$301,MATCH(C191,Artistes!$A$2:$A$301,0)),"ID inconnu"))</f>
        <v/>
      </c>
      <c r="E191" s="16"/>
      <c r="F191" s="16"/>
      <c r="G191" s="16"/>
      <c r="H191" s="16"/>
      <c r="I191" s="16"/>
      <c r="J191" s="16"/>
      <c r="K191" s="16"/>
      <c r="L191" s="16"/>
      <c r="M191" s="16"/>
      <c r="N191" s="18" t="str">
        <f t="shared" si="2"/>
        <v/>
      </c>
      <c r="O191" s="16"/>
      <c r="P191" s="18" t="str">
        <f>IF(C191="","",IFERROR(INDEX(Artistes!$M$2:$M$301,MATCH(C191,Artistes!$A$2:$A$301,0)),""))</f>
        <v/>
      </c>
      <c r="Q191" s="16"/>
    </row>
    <row r="192" spans="1:17" hidden="1" x14ac:dyDescent="0.25">
      <c r="A192" s="16"/>
      <c r="B192" s="16"/>
      <c r="C192" s="16"/>
      <c r="D192" s="18" t="str">
        <f>IF(C192="","",IFERROR(INDEX(Artistes!$B$2:$B$301,MATCH(C192,Artistes!$A$2:$A$301,0)),"ID inconnu"))</f>
        <v/>
      </c>
      <c r="E192" s="16"/>
      <c r="F192" s="16"/>
      <c r="G192" s="16"/>
      <c r="H192" s="16"/>
      <c r="I192" s="16"/>
      <c r="J192" s="16"/>
      <c r="K192" s="16"/>
      <c r="L192" s="16"/>
      <c r="M192" s="16"/>
      <c r="N192" s="18" t="str">
        <f t="shared" si="2"/>
        <v/>
      </c>
      <c r="O192" s="16"/>
      <c r="P192" s="18" t="str">
        <f>IF(C192="","",IFERROR(INDEX(Artistes!$M$2:$M$301,MATCH(C192,Artistes!$A$2:$A$301,0)),""))</f>
        <v/>
      </c>
      <c r="Q192" s="16"/>
    </row>
    <row r="193" spans="1:17" hidden="1" x14ac:dyDescent="0.25">
      <c r="A193" s="16"/>
      <c r="B193" s="16"/>
      <c r="C193" s="16"/>
      <c r="D193" s="18" t="str">
        <f>IF(C193="","",IFERROR(INDEX(Artistes!$B$2:$B$301,MATCH(C193,Artistes!$A$2:$A$301,0)),"ID inconnu"))</f>
        <v/>
      </c>
      <c r="E193" s="16"/>
      <c r="F193" s="16"/>
      <c r="G193" s="16"/>
      <c r="H193" s="16"/>
      <c r="I193" s="16"/>
      <c r="J193" s="16"/>
      <c r="K193" s="16"/>
      <c r="L193" s="16"/>
      <c r="M193" s="16"/>
      <c r="N193" s="18" t="str">
        <f t="shared" si="2"/>
        <v/>
      </c>
      <c r="O193" s="16"/>
      <c r="P193" s="18" t="str">
        <f>IF(C193="","",IFERROR(INDEX(Artistes!$M$2:$M$301,MATCH(C193,Artistes!$A$2:$A$301,0)),""))</f>
        <v/>
      </c>
      <c r="Q193" s="16"/>
    </row>
    <row r="194" spans="1:17" hidden="1" x14ac:dyDescent="0.25">
      <c r="A194" s="16"/>
      <c r="B194" s="16"/>
      <c r="C194" s="16"/>
      <c r="D194" s="18" t="str">
        <f>IF(C194="","",IFERROR(INDEX(Artistes!$B$2:$B$301,MATCH(C194,Artistes!$A$2:$A$301,0)),"ID inconnu"))</f>
        <v/>
      </c>
      <c r="E194" s="16"/>
      <c r="F194" s="16"/>
      <c r="G194" s="16"/>
      <c r="H194" s="16"/>
      <c r="I194" s="16"/>
      <c r="J194" s="16"/>
      <c r="K194" s="16"/>
      <c r="L194" s="16"/>
      <c r="M194" s="16"/>
      <c r="N194" s="18" t="str">
        <f t="shared" ref="N194:N257" si="3">IF(A194="","","oeuvres/"&amp;A194&amp;".md")</f>
        <v/>
      </c>
      <c r="O194" s="16"/>
      <c r="P194" s="18" t="str">
        <f>IF(C194="","",IFERROR(INDEX(Artistes!$M$2:$M$301,MATCH(C194,Artistes!$A$2:$A$301,0)),""))</f>
        <v/>
      </c>
      <c r="Q194" s="16"/>
    </row>
    <row r="195" spans="1:17" hidden="1" x14ac:dyDescent="0.25">
      <c r="A195" s="16"/>
      <c r="B195" s="16"/>
      <c r="C195" s="16"/>
      <c r="D195" s="18" t="str">
        <f>IF(C195="","",IFERROR(INDEX(Artistes!$B$2:$B$301,MATCH(C195,Artistes!$A$2:$A$301,0)),"ID inconnu"))</f>
        <v/>
      </c>
      <c r="E195" s="16"/>
      <c r="F195" s="16"/>
      <c r="G195" s="16"/>
      <c r="H195" s="16"/>
      <c r="I195" s="16"/>
      <c r="J195" s="16"/>
      <c r="K195" s="16"/>
      <c r="L195" s="16"/>
      <c r="M195" s="16"/>
      <c r="N195" s="18" t="str">
        <f t="shared" si="3"/>
        <v/>
      </c>
      <c r="O195" s="16"/>
      <c r="P195" s="18" t="str">
        <f>IF(C195="","",IFERROR(INDEX(Artistes!$M$2:$M$301,MATCH(C195,Artistes!$A$2:$A$301,0)),""))</f>
        <v/>
      </c>
      <c r="Q195" s="16"/>
    </row>
    <row r="196" spans="1:17" hidden="1" x14ac:dyDescent="0.25">
      <c r="A196" s="16"/>
      <c r="B196" s="16"/>
      <c r="C196" s="16"/>
      <c r="D196" s="18" t="str">
        <f>IF(C196="","",IFERROR(INDEX(Artistes!$B$2:$B$301,MATCH(C196,Artistes!$A$2:$A$301,0)),"ID inconnu"))</f>
        <v/>
      </c>
      <c r="E196" s="16"/>
      <c r="F196" s="16"/>
      <c r="G196" s="16"/>
      <c r="H196" s="16"/>
      <c r="I196" s="16"/>
      <c r="J196" s="16"/>
      <c r="K196" s="16"/>
      <c r="L196" s="16"/>
      <c r="M196" s="16"/>
      <c r="N196" s="18" t="str">
        <f t="shared" si="3"/>
        <v/>
      </c>
      <c r="O196" s="16"/>
      <c r="P196" s="18" t="str">
        <f>IF(C196="","",IFERROR(INDEX(Artistes!$M$2:$M$301,MATCH(C196,Artistes!$A$2:$A$301,0)),""))</f>
        <v/>
      </c>
      <c r="Q196" s="16"/>
    </row>
    <row r="197" spans="1:17" hidden="1" x14ac:dyDescent="0.25">
      <c r="A197" s="16"/>
      <c r="B197" s="16"/>
      <c r="C197" s="16"/>
      <c r="D197" s="18" t="str">
        <f>IF(C197="","",IFERROR(INDEX(Artistes!$B$2:$B$301,MATCH(C197,Artistes!$A$2:$A$301,0)),"ID inconnu"))</f>
        <v/>
      </c>
      <c r="E197" s="16"/>
      <c r="F197" s="16"/>
      <c r="G197" s="16"/>
      <c r="H197" s="16"/>
      <c r="I197" s="16"/>
      <c r="J197" s="16"/>
      <c r="K197" s="16"/>
      <c r="L197" s="16"/>
      <c r="M197" s="16"/>
      <c r="N197" s="18" t="str">
        <f t="shared" si="3"/>
        <v/>
      </c>
      <c r="O197" s="16"/>
      <c r="P197" s="18" t="str">
        <f>IF(C197="","",IFERROR(INDEX(Artistes!$M$2:$M$301,MATCH(C197,Artistes!$A$2:$A$301,0)),""))</f>
        <v/>
      </c>
      <c r="Q197" s="16"/>
    </row>
    <row r="198" spans="1:17" hidden="1" x14ac:dyDescent="0.25">
      <c r="A198" s="16"/>
      <c r="B198" s="16"/>
      <c r="C198" s="16"/>
      <c r="D198" s="18" t="str">
        <f>IF(C198="","",IFERROR(INDEX(Artistes!$B$2:$B$301,MATCH(C198,Artistes!$A$2:$A$301,0)),"ID inconnu"))</f>
        <v/>
      </c>
      <c r="E198" s="16"/>
      <c r="F198" s="16"/>
      <c r="G198" s="16"/>
      <c r="H198" s="16"/>
      <c r="I198" s="16"/>
      <c r="J198" s="16"/>
      <c r="K198" s="16"/>
      <c r="L198" s="16"/>
      <c r="M198" s="16"/>
      <c r="N198" s="18" t="str">
        <f t="shared" si="3"/>
        <v/>
      </c>
      <c r="O198" s="16"/>
      <c r="P198" s="18" t="str">
        <f>IF(C198="","",IFERROR(INDEX(Artistes!$M$2:$M$301,MATCH(C198,Artistes!$A$2:$A$301,0)),""))</f>
        <v/>
      </c>
      <c r="Q198" s="16"/>
    </row>
    <row r="199" spans="1:17" hidden="1" x14ac:dyDescent="0.25">
      <c r="A199" s="16"/>
      <c r="B199" s="16"/>
      <c r="C199" s="16"/>
      <c r="D199" s="18" t="str">
        <f>IF(C199="","",IFERROR(INDEX(Artistes!$B$2:$B$301,MATCH(C199,Artistes!$A$2:$A$301,0)),"ID inconnu"))</f>
        <v/>
      </c>
      <c r="E199" s="16"/>
      <c r="F199" s="16"/>
      <c r="G199" s="16"/>
      <c r="H199" s="16"/>
      <c r="I199" s="16"/>
      <c r="J199" s="16"/>
      <c r="K199" s="16"/>
      <c r="L199" s="16"/>
      <c r="M199" s="16"/>
      <c r="N199" s="18" t="str">
        <f t="shared" si="3"/>
        <v/>
      </c>
      <c r="O199" s="16"/>
      <c r="P199" s="18" t="str">
        <f>IF(C199="","",IFERROR(INDEX(Artistes!$M$2:$M$301,MATCH(C199,Artistes!$A$2:$A$301,0)),""))</f>
        <v/>
      </c>
      <c r="Q199" s="16"/>
    </row>
    <row r="200" spans="1:17" hidden="1" x14ac:dyDescent="0.25">
      <c r="A200" s="16"/>
      <c r="B200" s="16"/>
      <c r="C200" s="16"/>
      <c r="D200" s="18" t="str">
        <f>IF(C200="","",IFERROR(INDEX(Artistes!$B$2:$B$301,MATCH(C200,Artistes!$A$2:$A$301,0)),"ID inconnu"))</f>
        <v/>
      </c>
      <c r="E200" s="16"/>
      <c r="F200" s="16"/>
      <c r="G200" s="16"/>
      <c r="H200" s="16"/>
      <c r="I200" s="16"/>
      <c r="J200" s="16"/>
      <c r="K200" s="16"/>
      <c r="L200" s="16"/>
      <c r="M200" s="16"/>
      <c r="N200" s="18" t="str">
        <f t="shared" si="3"/>
        <v/>
      </c>
      <c r="O200" s="16"/>
      <c r="P200" s="18" t="str">
        <f>IF(C200="","",IFERROR(INDEX(Artistes!$M$2:$M$301,MATCH(C200,Artistes!$A$2:$A$301,0)),""))</f>
        <v/>
      </c>
      <c r="Q200" s="16"/>
    </row>
    <row r="201" spans="1:17" hidden="1" x14ac:dyDescent="0.25">
      <c r="A201" s="16"/>
      <c r="B201" s="16"/>
      <c r="C201" s="16"/>
      <c r="D201" s="18" t="str">
        <f>IF(C201="","",IFERROR(INDEX(Artistes!$B$2:$B$301,MATCH(C201,Artistes!$A$2:$A$301,0)),"ID inconnu"))</f>
        <v/>
      </c>
      <c r="E201" s="16"/>
      <c r="F201" s="16"/>
      <c r="G201" s="16"/>
      <c r="H201" s="16"/>
      <c r="I201" s="16"/>
      <c r="J201" s="16"/>
      <c r="K201" s="16"/>
      <c r="L201" s="16"/>
      <c r="M201" s="16"/>
      <c r="N201" s="18" t="str">
        <f t="shared" si="3"/>
        <v/>
      </c>
      <c r="O201" s="16"/>
      <c r="P201" s="18" t="str">
        <f>IF(C201="","",IFERROR(INDEX(Artistes!$M$2:$M$301,MATCH(C201,Artistes!$A$2:$A$301,0)),""))</f>
        <v/>
      </c>
      <c r="Q201" s="16"/>
    </row>
    <row r="202" spans="1:17" hidden="1" x14ac:dyDescent="0.25">
      <c r="A202" s="16"/>
      <c r="B202" s="16"/>
      <c r="C202" s="16"/>
      <c r="D202" s="18" t="str">
        <f>IF(C202="","",IFERROR(INDEX(Artistes!$B$2:$B$301,MATCH(C202,Artistes!$A$2:$A$301,0)),"ID inconnu"))</f>
        <v/>
      </c>
      <c r="E202" s="16"/>
      <c r="F202" s="16"/>
      <c r="G202" s="16"/>
      <c r="H202" s="16"/>
      <c r="I202" s="16"/>
      <c r="J202" s="16"/>
      <c r="K202" s="16"/>
      <c r="L202" s="16"/>
      <c r="M202" s="16"/>
      <c r="N202" s="18" t="str">
        <f t="shared" si="3"/>
        <v/>
      </c>
      <c r="O202" s="16"/>
      <c r="P202" s="18" t="str">
        <f>IF(C202="","",IFERROR(INDEX(Artistes!$M$2:$M$301,MATCH(C202,Artistes!$A$2:$A$301,0)),""))</f>
        <v/>
      </c>
      <c r="Q202" s="16"/>
    </row>
    <row r="203" spans="1:17" hidden="1" x14ac:dyDescent="0.25">
      <c r="A203" s="16"/>
      <c r="B203" s="16"/>
      <c r="C203" s="16"/>
      <c r="D203" s="18" t="str">
        <f>IF(C203="","",IFERROR(INDEX(Artistes!$B$2:$B$301,MATCH(C203,Artistes!$A$2:$A$301,0)),"ID inconnu"))</f>
        <v/>
      </c>
      <c r="E203" s="16"/>
      <c r="F203" s="16"/>
      <c r="G203" s="16"/>
      <c r="H203" s="16"/>
      <c r="I203" s="16"/>
      <c r="J203" s="16"/>
      <c r="K203" s="16"/>
      <c r="L203" s="16"/>
      <c r="M203" s="16"/>
      <c r="N203" s="18" t="str">
        <f t="shared" si="3"/>
        <v/>
      </c>
      <c r="O203" s="16"/>
      <c r="P203" s="18" t="str">
        <f>IF(C203="","",IFERROR(INDEX(Artistes!$M$2:$M$301,MATCH(C203,Artistes!$A$2:$A$301,0)),""))</f>
        <v/>
      </c>
      <c r="Q203" s="16"/>
    </row>
    <row r="204" spans="1:17" hidden="1" x14ac:dyDescent="0.25">
      <c r="A204" s="16"/>
      <c r="B204" s="16"/>
      <c r="C204" s="16"/>
      <c r="D204" s="18" t="str">
        <f>IF(C204="","",IFERROR(INDEX(Artistes!$B$2:$B$301,MATCH(C204,Artistes!$A$2:$A$301,0)),"ID inconnu"))</f>
        <v/>
      </c>
      <c r="E204" s="16"/>
      <c r="F204" s="16"/>
      <c r="G204" s="16"/>
      <c r="H204" s="16"/>
      <c r="I204" s="16"/>
      <c r="J204" s="16"/>
      <c r="K204" s="16"/>
      <c r="L204" s="16"/>
      <c r="M204" s="16"/>
      <c r="N204" s="18" t="str">
        <f t="shared" si="3"/>
        <v/>
      </c>
      <c r="O204" s="16"/>
      <c r="P204" s="18" t="str">
        <f>IF(C204="","",IFERROR(INDEX(Artistes!$M$2:$M$301,MATCH(C204,Artistes!$A$2:$A$301,0)),""))</f>
        <v/>
      </c>
      <c r="Q204" s="16"/>
    </row>
    <row r="205" spans="1:17" hidden="1" x14ac:dyDescent="0.25">
      <c r="A205" s="16"/>
      <c r="B205" s="16"/>
      <c r="C205" s="16"/>
      <c r="D205" s="18" t="str">
        <f>IF(C205="","",IFERROR(INDEX(Artistes!$B$2:$B$301,MATCH(C205,Artistes!$A$2:$A$301,0)),"ID inconnu"))</f>
        <v/>
      </c>
      <c r="E205" s="16"/>
      <c r="F205" s="16"/>
      <c r="G205" s="16"/>
      <c r="H205" s="16"/>
      <c r="I205" s="16"/>
      <c r="J205" s="16"/>
      <c r="K205" s="16"/>
      <c r="L205" s="16"/>
      <c r="M205" s="16"/>
      <c r="N205" s="18" t="str">
        <f t="shared" si="3"/>
        <v/>
      </c>
      <c r="O205" s="16"/>
      <c r="P205" s="18" t="str">
        <f>IF(C205="","",IFERROR(INDEX(Artistes!$M$2:$M$301,MATCH(C205,Artistes!$A$2:$A$301,0)),""))</f>
        <v/>
      </c>
      <c r="Q205" s="16"/>
    </row>
    <row r="206" spans="1:17" hidden="1" x14ac:dyDescent="0.25">
      <c r="A206" s="16"/>
      <c r="B206" s="16"/>
      <c r="C206" s="16"/>
      <c r="D206" s="18" t="str">
        <f>IF(C206="","",IFERROR(INDEX(Artistes!$B$2:$B$301,MATCH(C206,Artistes!$A$2:$A$301,0)),"ID inconnu"))</f>
        <v/>
      </c>
      <c r="E206" s="16"/>
      <c r="F206" s="16"/>
      <c r="G206" s="16"/>
      <c r="H206" s="16"/>
      <c r="I206" s="16"/>
      <c r="J206" s="16"/>
      <c r="K206" s="16"/>
      <c r="L206" s="16"/>
      <c r="M206" s="16"/>
      <c r="N206" s="18" t="str">
        <f t="shared" si="3"/>
        <v/>
      </c>
      <c r="O206" s="16"/>
      <c r="P206" s="18" t="str">
        <f>IF(C206="","",IFERROR(INDEX(Artistes!$M$2:$M$301,MATCH(C206,Artistes!$A$2:$A$301,0)),""))</f>
        <v/>
      </c>
      <c r="Q206" s="16"/>
    </row>
    <row r="207" spans="1:17" hidden="1" x14ac:dyDescent="0.25">
      <c r="A207" s="16"/>
      <c r="B207" s="16"/>
      <c r="C207" s="16"/>
      <c r="D207" s="18" t="str">
        <f>IF(C207="","",IFERROR(INDEX(Artistes!$B$2:$B$301,MATCH(C207,Artistes!$A$2:$A$301,0)),"ID inconnu"))</f>
        <v/>
      </c>
      <c r="E207" s="16"/>
      <c r="F207" s="16"/>
      <c r="G207" s="16"/>
      <c r="H207" s="16"/>
      <c r="I207" s="16"/>
      <c r="J207" s="16"/>
      <c r="K207" s="16"/>
      <c r="L207" s="16"/>
      <c r="M207" s="16"/>
      <c r="N207" s="18" t="str">
        <f t="shared" si="3"/>
        <v/>
      </c>
      <c r="O207" s="16"/>
      <c r="P207" s="18" t="str">
        <f>IF(C207="","",IFERROR(INDEX(Artistes!$M$2:$M$301,MATCH(C207,Artistes!$A$2:$A$301,0)),""))</f>
        <v/>
      </c>
      <c r="Q207" s="16"/>
    </row>
    <row r="208" spans="1:17" hidden="1" x14ac:dyDescent="0.25">
      <c r="A208" s="16"/>
      <c r="B208" s="16"/>
      <c r="C208" s="16"/>
      <c r="D208" s="18" t="str">
        <f>IF(C208="","",IFERROR(INDEX(Artistes!$B$2:$B$301,MATCH(C208,Artistes!$A$2:$A$301,0)),"ID inconnu"))</f>
        <v/>
      </c>
      <c r="E208" s="16"/>
      <c r="F208" s="16"/>
      <c r="G208" s="16"/>
      <c r="H208" s="16"/>
      <c r="I208" s="16"/>
      <c r="J208" s="16"/>
      <c r="K208" s="16"/>
      <c r="L208" s="16"/>
      <c r="M208" s="16"/>
      <c r="N208" s="18" t="str">
        <f t="shared" si="3"/>
        <v/>
      </c>
      <c r="O208" s="16"/>
      <c r="P208" s="18" t="str">
        <f>IF(C208="","",IFERROR(INDEX(Artistes!$M$2:$M$301,MATCH(C208,Artistes!$A$2:$A$301,0)),""))</f>
        <v/>
      </c>
      <c r="Q208" s="16"/>
    </row>
    <row r="209" spans="1:17" hidden="1" x14ac:dyDescent="0.25">
      <c r="A209" s="16"/>
      <c r="B209" s="16"/>
      <c r="C209" s="16"/>
      <c r="D209" s="18" t="str">
        <f>IF(C209="","",IFERROR(INDEX(Artistes!$B$2:$B$301,MATCH(C209,Artistes!$A$2:$A$301,0)),"ID inconnu"))</f>
        <v/>
      </c>
      <c r="E209" s="16"/>
      <c r="F209" s="16"/>
      <c r="G209" s="16"/>
      <c r="H209" s="16"/>
      <c r="I209" s="16"/>
      <c r="J209" s="16"/>
      <c r="K209" s="16"/>
      <c r="L209" s="16"/>
      <c r="M209" s="16"/>
      <c r="N209" s="18" t="str">
        <f t="shared" si="3"/>
        <v/>
      </c>
      <c r="O209" s="16"/>
      <c r="P209" s="18" t="str">
        <f>IF(C209="","",IFERROR(INDEX(Artistes!$M$2:$M$301,MATCH(C209,Artistes!$A$2:$A$301,0)),""))</f>
        <v/>
      </c>
      <c r="Q209" s="16"/>
    </row>
    <row r="210" spans="1:17" hidden="1" x14ac:dyDescent="0.25">
      <c r="A210" s="16"/>
      <c r="B210" s="16"/>
      <c r="C210" s="16"/>
      <c r="D210" s="18" t="str">
        <f>IF(C210="","",IFERROR(INDEX(Artistes!$B$2:$B$301,MATCH(C210,Artistes!$A$2:$A$301,0)),"ID inconnu"))</f>
        <v/>
      </c>
      <c r="E210" s="16"/>
      <c r="F210" s="16"/>
      <c r="G210" s="16"/>
      <c r="H210" s="16"/>
      <c r="I210" s="16"/>
      <c r="J210" s="16"/>
      <c r="K210" s="16"/>
      <c r="L210" s="16"/>
      <c r="M210" s="16"/>
      <c r="N210" s="18" t="str">
        <f t="shared" si="3"/>
        <v/>
      </c>
      <c r="O210" s="16"/>
      <c r="P210" s="18" t="str">
        <f>IF(C210="","",IFERROR(INDEX(Artistes!$M$2:$M$301,MATCH(C210,Artistes!$A$2:$A$301,0)),""))</f>
        <v/>
      </c>
      <c r="Q210" s="16"/>
    </row>
    <row r="211" spans="1:17" hidden="1" x14ac:dyDescent="0.25">
      <c r="A211" s="16"/>
      <c r="B211" s="16"/>
      <c r="C211" s="16"/>
      <c r="D211" s="18" t="str">
        <f>IF(C211="","",IFERROR(INDEX(Artistes!$B$2:$B$301,MATCH(C211,Artistes!$A$2:$A$301,0)),"ID inconnu"))</f>
        <v/>
      </c>
      <c r="E211" s="16"/>
      <c r="F211" s="16"/>
      <c r="G211" s="16"/>
      <c r="H211" s="16"/>
      <c r="I211" s="16"/>
      <c r="J211" s="16"/>
      <c r="K211" s="16"/>
      <c r="L211" s="16"/>
      <c r="M211" s="16"/>
      <c r="N211" s="18" t="str">
        <f t="shared" si="3"/>
        <v/>
      </c>
      <c r="O211" s="16"/>
      <c r="P211" s="18" t="str">
        <f>IF(C211="","",IFERROR(INDEX(Artistes!$M$2:$M$301,MATCH(C211,Artistes!$A$2:$A$301,0)),""))</f>
        <v/>
      </c>
      <c r="Q211" s="16"/>
    </row>
    <row r="212" spans="1:17" hidden="1" x14ac:dyDescent="0.25">
      <c r="A212" s="16"/>
      <c r="B212" s="16"/>
      <c r="C212" s="16"/>
      <c r="D212" s="18" t="str">
        <f>IF(C212="","",IFERROR(INDEX(Artistes!$B$2:$B$301,MATCH(C212,Artistes!$A$2:$A$301,0)),"ID inconnu"))</f>
        <v/>
      </c>
      <c r="E212" s="16"/>
      <c r="F212" s="16"/>
      <c r="G212" s="16"/>
      <c r="H212" s="16"/>
      <c r="I212" s="16"/>
      <c r="J212" s="16"/>
      <c r="K212" s="16"/>
      <c r="L212" s="16"/>
      <c r="M212" s="16"/>
      <c r="N212" s="18" t="str">
        <f t="shared" si="3"/>
        <v/>
      </c>
      <c r="O212" s="16"/>
      <c r="P212" s="18" t="str">
        <f>IF(C212="","",IFERROR(INDEX(Artistes!$M$2:$M$301,MATCH(C212,Artistes!$A$2:$A$301,0)),""))</f>
        <v/>
      </c>
      <c r="Q212" s="16"/>
    </row>
    <row r="213" spans="1:17" hidden="1" x14ac:dyDescent="0.25">
      <c r="A213" s="16"/>
      <c r="B213" s="16"/>
      <c r="C213" s="16"/>
      <c r="D213" s="18" t="str">
        <f>IF(C213="","",IFERROR(INDEX(Artistes!$B$2:$B$301,MATCH(C213,Artistes!$A$2:$A$301,0)),"ID inconnu"))</f>
        <v/>
      </c>
      <c r="E213" s="16"/>
      <c r="F213" s="16"/>
      <c r="G213" s="16"/>
      <c r="H213" s="16"/>
      <c r="I213" s="16"/>
      <c r="J213" s="16"/>
      <c r="K213" s="16"/>
      <c r="L213" s="16"/>
      <c r="M213" s="16"/>
      <c r="N213" s="18" t="str">
        <f t="shared" si="3"/>
        <v/>
      </c>
      <c r="O213" s="16"/>
      <c r="P213" s="18" t="str">
        <f>IF(C213="","",IFERROR(INDEX(Artistes!$M$2:$M$301,MATCH(C213,Artistes!$A$2:$A$301,0)),""))</f>
        <v/>
      </c>
      <c r="Q213" s="16"/>
    </row>
    <row r="214" spans="1:17" hidden="1" x14ac:dyDescent="0.25">
      <c r="A214" s="16"/>
      <c r="B214" s="16"/>
      <c r="C214" s="16"/>
      <c r="D214" s="18" t="str">
        <f>IF(C214="","",IFERROR(INDEX(Artistes!$B$2:$B$301,MATCH(C214,Artistes!$A$2:$A$301,0)),"ID inconnu"))</f>
        <v/>
      </c>
      <c r="E214" s="16"/>
      <c r="F214" s="16"/>
      <c r="G214" s="16"/>
      <c r="H214" s="16"/>
      <c r="I214" s="16"/>
      <c r="J214" s="16"/>
      <c r="K214" s="16"/>
      <c r="L214" s="16"/>
      <c r="M214" s="16"/>
      <c r="N214" s="18" t="str">
        <f t="shared" si="3"/>
        <v/>
      </c>
      <c r="O214" s="16"/>
      <c r="P214" s="18" t="str">
        <f>IF(C214="","",IFERROR(INDEX(Artistes!$M$2:$M$301,MATCH(C214,Artistes!$A$2:$A$301,0)),""))</f>
        <v/>
      </c>
      <c r="Q214" s="16"/>
    </row>
    <row r="215" spans="1:17" hidden="1" x14ac:dyDescent="0.25">
      <c r="A215" s="16"/>
      <c r="B215" s="16"/>
      <c r="C215" s="16"/>
      <c r="D215" s="18" t="str">
        <f>IF(C215="","",IFERROR(INDEX(Artistes!$B$2:$B$301,MATCH(C215,Artistes!$A$2:$A$301,0)),"ID inconnu"))</f>
        <v/>
      </c>
      <c r="E215" s="16"/>
      <c r="F215" s="16"/>
      <c r="G215" s="16"/>
      <c r="H215" s="16"/>
      <c r="I215" s="16"/>
      <c r="J215" s="16"/>
      <c r="K215" s="16"/>
      <c r="L215" s="16"/>
      <c r="M215" s="16"/>
      <c r="N215" s="18" t="str">
        <f t="shared" si="3"/>
        <v/>
      </c>
      <c r="O215" s="16"/>
      <c r="P215" s="18" t="str">
        <f>IF(C215="","",IFERROR(INDEX(Artistes!$M$2:$M$301,MATCH(C215,Artistes!$A$2:$A$301,0)),""))</f>
        <v/>
      </c>
      <c r="Q215" s="16"/>
    </row>
    <row r="216" spans="1:17" hidden="1" x14ac:dyDescent="0.25">
      <c r="A216" s="16"/>
      <c r="B216" s="16"/>
      <c r="C216" s="16"/>
      <c r="D216" s="18" t="str">
        <f>IF(C216="","",IFERROR(INDEX(Artistes!$B$2:$B$301,MATCH(C216,Artistes!$A$2:$A$301,0)),"ID inconnu"))</f>
        <v/>
      </c>
      <c r="E216" s="16"/>
      <c r="F216" s="16"/>
      <c r="G216" s="16"/>
      <c r="H216" s="16"/>
      <c r="I216" s="16"/>
      <c r="J216" s="16"/>
      <c r="K216" s="16"/>
      <c r="L216" s="16"/>
      <c r="M216" s="16"/>
      <c r="N216" s="18" t="str">
        <f t="shared" si="3"/>
        <v/>
      </c>
      <c r="O216" s="16"/>
      <c r="P216" s="18" t="str">
        <f>IF(C216="","",IFERROR(INDEX(Artistes!$M$2:$M$301,MATCH(C216,Artistes!$A$2:$A$301,0)),""))</f>
        <v/>
      </c>
      <c r="Q216" s="16"/>
    </row>
    <row r="217" spans="1:17" hidden="1" x14ac:dyDescent="0.25">
      <c r="A217" s="16"/>
      <c r="B217" s="16"/>
      <c r="C217" s="16"/>
      <c r="D217" s="18" t="str">
        <f>IF(C217="","",IFERROR(INDEX(Artistes!$B$2:$B$301,MATCH(C217,Artistes!$A$2:$A$301,0)),"ID inconnu"))</f>
        <v/>
      </c>
      <c r="E217" s="16"/>
      <c r="F217" s="16"/>
      <c r="G217" s="16"/>
      <c r="H217" s="16"/>
      <c r="I217" s="16"/>
      <c r="J217" s="16"/>
      <c r="K217" s="16"/>
      <c r="L217" s="16"/>
      <c r="M217" s="16"/>
      <c r="N217" s="18" t="str">
        <f t="shared" si="3"/>
        <v/>
      </c>
      <c r="O217" s="16"/>
      <c r="P217" s="18" t="str">
        <f>IF(C217="","",IFERROR(INDEX(Artistes!$M$2:$M$301,MATCH(C217,Artistes!$A$2:$A$301,0)),""))</f>
        <v/>
      </c>
      <c r="Q217" s="16"/>
    </row>
    <row r="218" spans="1:17" hidden="1" x14ac:dyDescent="0.25">
      <c r="A218" s="16"/>
      <c r="B218" s="16"/>
      <c r="C218" s="16"/>
      <c r="D218" s="18" t="str">
        <f>IF(C218="","",IFERROR(INDEX(Artistes!$B$2:$B$301,MATCH(C218,Artistes!$A$2:$A$301,0)),"ID inconnu"))</f>
        <v/>
      </c>
      <c r="E218" s="16"/>
      <c r="F218" s="16"/>
      <c r="G218" s="16"/>
      <c r="H218" s="16"/>
      <c r="I218" s="16"/>
      <c r="J218" s="16"/>
      <c r="K218" s="16"/>
      <c r="L218" s="16"/>
      <c r="M218" s="16"/>
      <c r="N218" s="18" t="str">
        <f t="shared" si="3"/>
        <v/>
      </c>
      <c r="O218" s="16"/>
      <c r="P218" s="18" t="str">
        <f>IF(C218="","",IFERROR(INDEX(Artistes!$M$2:$M$301,MATCH(C218,Artistes!$A$2:$A$301,0)),""))</f>
        <v/>
      </c>
      <c r="Q218" s="16"/>
    </row>
    <row r="219" spans="1:17" hidden="1" x14ac:dyDescent="0.25">
      <c r="A219" s="16"/>
      <c r="B219" s="16"/>
      <c r="C219" s="16"/>
      <c r="D219" s="18" t="str">
        <f>IF(C219="","",IFERROR(INDEX(Artistes!$B$2:$B$301,MATCH(C219,Artistes!$A$2:$A$301,0)),"ID inconnu"))</f>
        <v/>
      </c>
      <c r="E219" s="16"/>
      <c r="F219" s="16"/>
      <c r="G219" s="16"/>
      <c r="H219" s="16"/>
      <c r="I219" s="16"/>
      <c r="J219" s="16"/>
      <c r="K219" s="16"/>
      <c r="L219" s="16"/>
      <c r="M219" s="16"/>
      <c r="N219" s="18" t="str">
        <f t="shared" si="3"/>
        <v/>
      </c>
      <c r="O219" s="16"/>
      <c r="P219" s="18" t="str">
        <f>IF(C219="","",IFERROR(INDEX(Artistes!$M$2:$M$301,MATCH(C219,Artistes!$A$2:$A$301,0)),""))</f>
        <v/>
      </c>
      <c r="Q219" s="16"/>
    </row>
    <row r="220" spans="1:17" hidden="1" x14ac:dyDescent="0.25">
      <c r="A220" s="16"/>
      <c r="B220" s="16"/>
      <c r="C220" s="16"/>
      <c r="D220" s="18" t="str">
        <f>IF(C220="","",IFERROR(INDEX(Artistes!$B$2:$B$301,MATCH(C220,Artistes!$A$2:$A$301,0)),"ID inconnu"))</f>
        <v/>
      </c>
      <c r="E220" s="16"/>
      <c r="F220" s="16"/>
      <c r="G220" s="16"/>
      <c r="H220" s="16"/>
      <c r="I220" s="16"/>
      <c r="J220" s="16"/>
      <c r="K220" s="16"/>
      <c r="L220" s="16"/>
      <c r="M220" s="16"/>
      <c r="N220" s="18" t="str">
        <f t="shared" si="3"/>
        <v/>
      </c>
      <c r="O220" s="16"/>
      <c r="P220" s="18" t="str">
        <f>IF(C220="","",IFERROR(INDEX(Artistes!$M$2:$M$301,MATCH(C220,Artistes!$A$2:$A$301,0)),""))</f>
        <v/>
      </c>
      <c r="Q220" s="16"/>
    </row>
    <row r="221" spans="1:17" hidden="1" x14ac:dyDescent="0.25">
      <c r="A221" s="16"/>
      <c r="B221" s="16"/>
      <c r="C221" s="16"/>
      <c r="D221" s="18" t="str">
        <f>IF(C221="","",IFERROR(INDEX(Artistes!$B$2:$B$301,MATCH(C221,Artistes!$A$2:$A$301,0)),"ID inconnu"))</f>
        <v/>
      </c>
      <c r="E221" s="16"/>
      <c r="F221" s="16"/>
      <c r="G221" s="16"/>
      <c r="H221" s="16"/>
      <c r="I221" s="16"/>
      <c r="J221" s="16"/>
      <c r="K221" s="16"/>
      <c r="L221" s="16"/>
      <c r="M221" s="16"/>
      <c r="N221" s="18" t="str">
        <f t="shared" si="3"/>
        <v/>
      </c>
      <c r="O221" s="16"/>
      <c r="P221" s="18" t="str">
        <f>IF(C221="","",IFERROR(INDEX(Artistes!$M$2:$M$301,MATCH(C221,Artistes!$A$2:$A$301,0)),""))</f>
        <v/>
      </c>
      <c r="Q221" s="16"/>
    </row>
    <row r="222" spans="1:17" hidden="1" x14ac:dyDescent="0.25">
      <c r="A222" s="16"/>
      <c r="B222" s="16"/>
      <c r="C222" s="16"/>
      <c r="D222" s="18" t="str">
        <f>IF(C222="","",IFERROR(INDEX(Artistes!$B$2:$B$301,MATCH(C222,Artistes!$A$2:$A$301,0)),"ID inconnu"))</f>
        <v/>
      </c>
      <c r="E222" s="16"/>
      <c r="F222" s="16"/>
      <c r="G222" s="16"/>
      <c r="H222" s="16"/>
      <c r="I222" s="16"/>
      <c r="J222" s="16"/>
      <c r="K222" s="16"/>
      <c r="L222" s="16"/>
      <c r="M222" s="16"/>
      <c r="N222" s="18" t="str">
        <f t="shared" si="3"/>
        <v/>
      </c>
      <c r="O222" s="16"/>
      <c r="P222" s="18" t="str">
        <f>IF(C222="","",IFERROR(INDEX(Artistes!$M$2:$M$301,MATCH(C222,Artistes!$A$2:$A$301,0)),""))</f>
        <v/>
      </c>
      <c r="Q222" s="16"/>
    </row>
    <row r="223" spans="1:17" hidden="1" x14ac:dyDescent="0.25">
      <c r="A223" s="16"/>
      <c r="B223" s="16"/>
      <c r="C223" s="16"/>
      <c r="D223" s="18" t="str">
        <f>IF(C223="","",IFERROR(INDEX(Artistes!$B$2:$B$301,MATCH(C223,Artistes!$A$2:$A$301,0)),"ID inconnu"))</f>
        <v/>
      </c>
      <c r="E223" s="16"/>
      <c r="F223" s="16"/>
      <c r="G223" s="16"/>
      <c r="H223" s="16"/>
      <c r="I223" s="16"/>
      <c r="J223" s="16"/>
      <c r="K223" s="16"/>
      <c r="L223" s="16"/>
      <c r="M223" s="16"/>
      <c r="N223" s="18" t="str">
        <f t="shared" si="3"/>
        <v/>
      </c>
      <c r="O223" s="16"/>
      <c r="P223" s="18" t="str">
        <f>IF(C223="","",IFERROR(INDEX(Artistes!$M$2:$M$301,MATCH(C223,Artistes!$A$2:$A$301,0)),""))</f>
        <v/>
      </c>
      <c r="Q223" s="16"/>
    </row>
    <row r="224" spans="1:17" hidden="1" x14ac:dyDescent="0.25">
      <c r="A224" s="16"/>
      <c r="B224" s="16"/>
      <c r="C224" s="16"/>
      <c r="D224" s="18" t="str">
        <f>IF(C224="","",IFERROR(INDEX(Artistes!$B$2:$B$301,MATCH(C224,Artistes!$A$2:$A$301,0)),"ID inconnu"))</f>
        <v/>
      </c>
      <c r="E224" s="16"/>
      <c r="F224" s="16"/>
      <c r="G224" s="16"/>
      <c r="H224" s="16"/>
      <c r="I224" s="16"/>
      <c r="J224" s="16"/>
      <c r="K224" s="16"/>
      <c r="L224" s="16"/>
      <c r="M224" s="16"/>
      <c r="N224" s="18" t="str">
        <f t="shared" si="3"/>
        <v/>
      </c>
      <c r="O224" s="16"/>
      <c r="P224" s="18" t="str">
        <f>IF(C224="","",IFERROR(INDEX(Artistes!$M$2:$M$301,MATCH(C224,Artistes!$A$2:$A$301,0)),""))</f>
        <v/>
      </c>
      <c r="Q224" s="16"/>
    </row>
    <row r="225" spans="1:17" hidden="1" x14ac:dyDescent="0.25">
      <c r="A225" s="16"/>
      <c r="B225" s="16"/>
      <c r="C225" s="16"/>
      <c r="D225" s="18" t="str">
        <f>IF(C225="","",IFERROR(INDEX(Artistes!$B$2:$B$301,MATCH(C225,Artistes!$A$2:$A$301,0)),"ID inconnu"))</f>
        <v/>
      </c>
      <c r="E225" s="16"/>
      <c r="F225" s="16"/>
      <c r="G225" s="16"/>
      <c r="H225" s="16"/>
      <c r="I225" s="16"/>
      <c r="J225" s="16"/>
      <c r="K225" s="16"/>
      <c r="L225" s="16"/>
      <c r="M225" s="16"/>
      <c r="N225" s="18" t="str">
        <f t="shared" si="3"/>
        <v/>
      </c>
      <c r="O225" s="16"/>
      <c r="P225" s="18" t="str">
        <f>IF(C225="","",IFERROR(INDEX(Artistes!$M$2:$M$301,MATCH(C225,Artistes!$A$2:$A$301,0)),""))</f>
        <v/>
      </c>
      <c r="Q225" s="16"/>
    </row>
    <row r="226" spans="1:17" hidden="1" x14ac:dyDescent="0.25">
      <c r="A226" s="16"/>
      <c r="B226" s="16"/>
      <c r="C226" s="16"/>
      <c r="D226" s="18" t="str">
        <f>IF(C226="","",IFERROR(INDEX(Artistes!$B$2:$B$301,MATCH(C226,Artistes!$A$2:$A$301,0)),"ID inconnu"))</f>
        <v/>
      </c>
      <c r="E226" s="16"/>
      <c r="F226" s="16"/>
      <c r="G226" s="16"/>
      <c r="H226" s="16"/>
      <c r="I226" s="16"/>
      <c r="J226" s="16"/>
      <c r="K226" s="16"/>
      <c r="L226" s="16"/>
      <c r="M226" s="16"/>
      <c r="N226" s="18" t="str">
        <f t="shared" si="3"/>
        <v/>
      </c>
      <c r="O226" s="16"/>
      <c r="P226" s="18" t="str">
        <f>IF(C226="","",IFERROR(INDEX(Artistes!$M$2:$M$301,MATCH(C226,Artistes!$A$2:$A$301,0)),""))</f>
        <v/>
      </c>
      <c r="Q226" s="16"/>
    </row>
    <row r="227" spans="1:17" hidden="1" x14ac:dyDescent="0.25">
      <c r="A227" s="16"/>
      <c r="B227" s="16"/>
      <c r="C227" s="16"/>
      <c r="D227" s="18" t="str">
        <f>IF(C227="","",IFERROR(INDEX(Artistes!$B$2:$B$301,MATCH(C227,Artistes!$A$2:$A$301,0)),"ID inconnu"))</f>
        <v/>
      </c>
      <c r="E227" s="16"/>
      <c r="F227" s="16"/>
      <c r="G227" s="16"/>
      <c r="H227" s="16"/>
      <c r="I227" s="16"/>
      <c r="J227" s="16"/>
      <c r="K227" s="16"/>
      <c r="L227" s="16"/>
      <c r="M227" s="16"/>
      <c r="N227" s="18" t="str">
        <f t="shared" si="3"/>
        <v/>
      </c>
      <c r="O227" s="16"/>
      <c r="P227" s="18" t="str">
        <f>IF(C227="","",IFERROR(INDEX(Artistes!$M$2:$M$301,MATCH(C227,Artistes!$A$2:$A$301,0)),""))</f>
        <v/>
      </c>
      <c r="Q227" s="16"/>
    </row>
    <row r="228" spans="1:17" hidden="1" x14ac:dyDescent="0.25">
      <c r="A228" s="16"/>
      <c r="B228" s="16"/>
      <c r="C228" s="16"/>
      <c r="D228" s="18" t="str">
        <f>IF(C228="","",IFERROR(INDEX(Artistes!$B$2:$B$301,MATCH(C228,Artistes!$A$2:$A$301,0)),"ID inconnu"))</f>
        <v/>
      </c>
      <c r="E228" s="16"/>
      <c r="F228" s="16"/>
      <c r="G228" s="16"/>
      <c r="H228" s="16"/>
      <c r="I228" s="16"/>
      <c r="J228" s="16"/>
      <c r="K228" s="16"/>
      <c r="L228" s="16"/>
      <c r="M228" s="16"/>
      <c r="N228" s="18" t="str">
        <f t="shared" si="3"/>
        <v/>
      </c>
      <c r="O228" s="16"/>
      <c r="P228" s="18" t="str">
        <f>IF(C228="","",IFERROR(INDEX(Artistes!$M$2:$M$301,MATCH(C228,Artistes!$A$2:$A$301,0)),""))</f>
        <v/>
      </c>
      <c r="Q228" s="16"/>
    </row>
    <row r="229" spans="1:17" hidden="1" x14ac:dyDescent="0.25">
      <c r="A229" s="16"/>
      <c r="B229" s="16"/>
      <c r="C229" s="16"/>
      <c r="D229" s="18" t="str">
        <f>IF(C229="","",IFERROR(INDEX(Artistes!$B$2:$B$301,MATCH(C229,Artistes!$A$2:$A$301,0)),"ID inconnu"))</f>
        <v/>
      </c>
      <c r="E229" s="16"/>
      <c r="F229" s="16"/>
      <c r="G229" s="16"/>
      <c r="H229" s="16"/>
      <c r="I229" s="16"/>
      <c r="J229" s="16"/>
      <c r="K229" s="16"/>
      <c r="L229" s="16"/>
      <c r="M229" s="16"/>
      <c r="N229" s="18" t="str">
        <f t="shared" si="3"/>
        <v/>
      </c>
      <c r="O229" s="16"/>
      <c r="P229" s="18" t="str">
        <f>IF(C229="","",IFERROR(INDEX(Artistes!$M$2:$M$301,MATCH(C229,Artistes!$A$2:$A$301,0)),""))</f>
        <v/>
      </c>
      <c r="Q229" s="16"/>
    </row>
    <row r="230" spans="1:17" hidden="1" x14ac:dyDescent="0.25">
      <c r="A230" s="16"/>
      <c r="B230" s="16"/>
      <c r="C230" s="16"/>
      <c r="D230" s="18" t="str">
        <f>IF(C230="","",IFERROR(INDEX(Artistes!$B$2:$B$301,MATCH(C230,Artistes!$A$2:$A$301,0)),"ID inconnu"))</f>
        <v/>
      </c>
      <c r="E230" s="16"/>
      <c r="F230" s="16"/>
      <c r="G230" s="16"/>
      <c r="H230" s="16"/>
      <c r="I230" s="16"/>
      <c r="J230" s="16"/>
      <c r="K230" s="16"/>
      <c r="L230" s="16"/>
      <c r="M230" s="16"/>
      <c r="N230" s="18" t="str">
        <f t="shared" si="3"/>
        <v/>
      </c>
      <c r="O230" s="16"/>
      <c r="P230" s="18" t="str">
        <f>IF(C230="","",IFERROR(INDEX(Artistes!$M$2:$M$301,MATCH(C230,Artistes!$A$2:$A$301,0)),""))</f>
        <v/>
      </c>
      <c r="Q230" s="16"/>
    </row>
    <row r="231" spans="1:17" hidden="1" x14ac:dyDescent="0.25">
      <c r="A231" s="16"/>
      <c r="B231" s="16"/>
      <c r="C231" s="16"/>
      <c r="D231" s="18" t="str">
        <f>IF(C231="","",IFERROR(INDEX(Artistes!$B$2:$B$301,MATCH(C231,Artistes!$A$2:$A$301,0)),"ID inconnu"))</f>
        <v/>
      </c>
      <c r="E231" s="16"/>
      <c r="F231" s="16"/>
      <c r="G231" s="16"/>
      <c r="H231" s="16"/>
      <c r="I231" s="16"/>
      <c r="J231" s="16"/>
      <c r="K231" s="16"/>
      <c r="L231" s="16"/>
      <c r="M231" s="16"/>
      <c r="N231" s="18" t="str">
        <f t="shared" si="3"/>
        <v/>
      </c>
      <c r="O231" s="16"/>
      <c r="P231" s="18" t="str">
        <f>IF(C231="","",IFERROR(INDEX(Artistes!$M$2:$M$301,MATCH(C231,Artistes!$A$2:$A$301,0)),""))</f>
        <v/>
      </c>
      <c r="Q231" s="16"/>
    </row>
    <row r="232" spans="1:17" hidden="1" x14ac:dyDescent="0.25">
      <c r="A232" s="16"/>
      <c r="B232" s="16"/>
      <c r="C232" s="16"/>
      <c r="D232" s="18" t="str">
        <f>IF(C232="","",IFERROR(INDEX(Artistes!$B$2:$B$301,MATCH(C232,Artistes!$A$2:$A$301,0)),"ID inconnu"))</f>
        <v/>
      </c>
      <c r="E232" s="16"/>
      <c r="F232" s="16"/>
      <c r="G232" s="16"/>
      <c r="H232" s="16"/>
      <c r="I232" s="16"/>
      <c r="J232" s="16"/>
      <c r="K232" s="16"/>
      <c r="L232" s="16"/>
      <c r="M232" s="16"/>
      <c r="N232" s="18" t="str">
        <f t="shared" si="3"/>
        <v/>
      </c>
      <c r="O232" s="16"/>
      <c r="P232" s="18" t="str">
        <f>IF(C232="","",IFERROR(INDEX(Artistes!$M$2:$M$301,MATCH(C232,Artistes!$A$2:$A$301,0)),""))</f>
        <v/>
      </c>
      <c r="Q232" s="16"/>
    </row>
    <row r="233" spans="1:17" hidden="1" x14ac:dyDescent="0.25">
      <c r="A233" s="16"/>
      <c r="B233" s="16"/>
      <c r="C233" s="16"/>
      <c r="D233" s="18" t="str">
        <f>IF(C233="","",IFERROR(INDEX(Artistes!$B$2:$B$301,MATCH(C233,Artistes!$A$2:$A$301,0)),"ID inconnu"))</f>
        <v/>
      </c>
      <c r="E233" s="16"/>
      <c r="F233" s="16"/>
      <c r="G233" s="16"/>
      <c r="H233" s="16"/>
      <c r="I233" s="16"/>
      <c r="J233" s="16"/>
      <c r="K233" s="16"/>
      <c r="L233" s="16"/>
      <c r="M233" s="16"/>
      <c r="N233" s="18" t="str">
        <f t="shared" si="3"/>
        <v/>
      </c>
      <c r="O233" s="16"/>
      <c r="P233" s="18" t="str">
        <f>IF(C233="","",IFERROR(INDEX(Artistes!$M$2:$M$301,MATCH(C233,Artistes!$A$2:$A$301,0)),""))</f>
        <v/>
      </c>
      <c r="Q233" s="16"/>
    </row>
    <row r="234" spans="1:17" hidden="1" x14ac:dyDescent="0.25">
      <c r="A234" s="16"/>
      <c r="B234" s="16"/>
      <c r="C234" s="16"/>
      <c r="D234" s="18" t="str">
        <f>IF(C234="","",IFERROR(INDEX(Artistes!$B$2:$B$301,MATCH(C234,Artistes!$A$2:$A$301,0)),"ID inconnu"))</f>
        <v/>
      </c>
      <c r="E234" s="16"/>
      <c r="F234" s="16"/>
      <c r="G234" s="16"/>
      <c r="H234" s="16"/>
      <c r="I234" s="16"/>
      <c r="J234" s="16"/>
      <c r="K234" s="16"/>
      <c r="L234" s="16"/>
      <c r="M234" s="16"/>
      <c r="N234" s="18" t="str">
        <f t="shared" si="3"/>
        <v/>
      </c>
      <c r="O234" s="16"/>
      <c r="P234" s="18" t="str">
        <f>IF(C234="","",IFERROR(INDEX(Artistes!$M$2:$M$301,MATCH(C234,Artistes!$A$2:$A$301,0)),""))</f>
        <v/>
      </c>
      <c r="Q234" s="16"/>
    </row>
    <row r="235" spans="1:17" hidden="1" x14ac:dyDescent="0.25">
      <c r="A235" s="16"/>
      <c r="B235" s="16"/>
      <c r="C235" s="16"/>
      <c r="D235" s="18" t="str">
        <f>IF(C235="","",IFERROR(INDEX(Artistes!$B$2:$B$301,MATCH(C235,Artistes!$A$2:$A$301,0)),"ID inconnu"))</f>
        <v/>
      </c>
      <c r="E235" s="16"/>
      <c r="F235" s="16"/>
      <c r="G235" s="16"/>
      <c r="H235" s="16"/>
      <c r="I235" s="16"/>
      <c r="J235" s="16"/>
      <c r="K235" s="16"/>
      <c r="L235" s="16"/>
      <c r="M235" s="16"/>
      <c r="N235" s="18" t="str">
        <f t="shared" si="3"/>
        <v/>
      </c>
      <c r="O235" s="16"/>
      <c r="P235" s="18" t="str">
        <f>IF(C235="","",IFERROR(INDEX(Artistes!$M$2:$M$301,MATCH(C235,Artistes!$A$2:$A$301,0)),""))</f>
        <v/>
      </c>
      <c r="Q235" s="16"/>
    </row>
    <row r="236" spans="1:17" hidden="1" x14ac:dyDescent="0.25">
      <c r="A236" s="16"/>
      <c r="B236" s="16"/>
      <c r="C236" s="16"/>
      <c r="D236" s="18" t="str">
        <f>IF(C236="","",IFERROR(INDEX(Artistes!$B$2:$B$301,MATCH(C236,Artistes!$A$2:$A$301,0)),"ID inconnu"))</f>
        <v/>
      </c>
      <c r="E236" s="16"/>
      <c r="F236" s="16"/>
      <c r="G236" s="16"/>
      <c r="H236" s="16"/>
      <c r="I236" s="16"/>
      <c r="J236" s="16"/>
      <c r="K236" s="16"/>
      <c r="L236" s="16"/>
      <c r="M236" s="16"/>
      <c r="N236" s="18" t="str">
        <f t="shared" si="3"/>
        <v/>
      </c>
      <c r="O236" s="16"/>
      <c r="P236" s="18" t="str">
        <f>IF(C236="","",IFERROR(INDEX(Artistes!$M$2:$M$301,MATCH(C236,Artistes!$A$2:$A$301,0)),""))</f>
        <v/>
      </c>
      <c r="Q236" s="16"/>
    </row>
    <row r="237" spans="1:17" hidden="1" x14ac:dyDescent="0.25">
      <c r="A237" s="16"/>
      <c r="B237" s="16"/>
      <c r="C237" s="16"/>
      <c r="D237" s="18" t="str">
        <f>IF(C237="","",IFERROR(INDEX(Artistes!$B$2:$B$301,MATCH(C237,Artistes!$A$2:$A$301,0)),"ID inconnu"))</f>
        <v/>
      </c>
      <c r="E237" s="16"/>
      <c r="F237" s="16"/>
      <c r="G237" s="16"/>
      <c r="H237" s="16"/>
      <c r="I237" s="16"/>
      <c r="J237" s="16"/>
      <c r="K237" s="16"/>
      <c r="L237" s="16"/>
      <c r="M237" s="16"/>
      <c r="N237" s="18" t="str">
        <f t="shared" si="3"/>
        <v/>
      </c>
      <c r="O237" s="16"/>
      <c r="P237" s="18" t="str">
        <f>IF(C237="","",IFERROR(INDEX(Artistes!$M$2:$M$301,MATCH(C237,Artistes!$A$2:$A$301,0)),""))</f>
        <v/>
      </c>
      <c r="Q237" s="16"/>
    </row>
    <row r="238" spans="1:17" hidden="1" x14ac:dyDescent="0.25">
      <c r="A238" s="16"/>
      <c r="B238" s="16"/>
      <c r="C238" s="16"/>
      <c r="D238" s="18" t="str">
        <f>IF(C238="","",IFERROR(INDEX(Artistes!$B$2:$B$301,MATCH(C238,Artistes!$A$2:$A$301,0)),"ID inconnu"))</f>
        <v/>
      </c>
      <c r="E238" s="16"/>
      <c r="F238" s="16"/>
      <c r="G238" s="16"/>
      <c r="H238" s="16"/>
      <c r="I238" s="16"/>
      <c r="J238" s="16"/>
      <c r="K238" s="16"/>
      <c r="L238" s="16"/>
      <c r="M238" s="16"/>
      <c r="N238" s="18" t="str">
        <f t="shared" si="3"/>
        <v/>
      </c>
      <c r="O238" s="16"/>
      <c r="P238" s="18" t="str">
        <f>IF(C238="","",IFERROR(INDEX(Artistes!$M$2:$M$301,MATCH(C238,Artistes!$A$2:$A$301,0)),""))</f>
        <v/>
      </c>
      <c r="Q238" s="16"/>
    </row>
    <row r="239" spans="1:17" hidden="1" x14ac:dyDescent="0.25">
      <c r="A239" s="16"/>
      <c r="B239" s="16"/>
      <c r="C239" s="16"/>
      <c r="D239" s="18" t="str">
        <f>IF(C239="","",IFERROR(INDEX(Artistes!$B$2:$B$301,MATCH(C239,Artistes!$A$2:$A$301,0)),"ID inconnu"))</f>
        <v/>
      </c>
      <c r="E239" s="16"/>
      <c r="F239" s="16"/>
      <c r="G239" s="16"/>
      <c r="H239" s="16"/>
      <c r="I239" s="16"/>
      <c r="J239" s="16"/>
      <c r="K239" s="16"/>
      <c r="L239" s="16"/>
      <c r="M239" s="16"/>
      <c r="N239" s="18" t="str">
        <f t="shared" si="3"/>
        <v/>
      </c>
      <c r="O239" s="16"/>
      <c r="P239" s="18" t="str">
        <f>IF(C239="","",IFERROR(INDEX(Artistes!$M$2:$M$301,MATCH(C239,Artistes!$A$2:$A$301,0)),""))</f>
        <v/>
      </c>
      <c r="Q239" s="16"/>
    </row>
    <row r="240" spans="1:17" hidden="1" x14ac:dyDescent="0.25">
      <c r="A240" s="16"/>
      <c r="B240" s="16"/>
      <c r="C240" s="16"/>
      <c r="D240" s="18" t="str">
        <f>IF(C240="","",IFERROR(INDEX(Artistes!$B$2:$B$301,MATCH(C240,Artistes!$A$2:$A$301,0)),"ID inconnu"))</f>
        <v/>
      </c>
      <c r="E240" s="16"/>
      <c r="F240" s="16"/>
      <c r="G240" s="16"/>
      <c r="H240" s="16"/>
      <c r="I240" s="16"/>
      <c r="J240" s="16"/>
      <c r="K240" s="16"/>
      <c r="L240" s="16"/>
      <c r="M240" s="16"/>
      <c r="N240" s="18" t="str">
        <f t="shared" si="3"/>
        <v/>
      </c>
      <c r="O240" s="16"/>
      <c r="P240" s="18" t="str">
        <f>IF(C240="","",IFERROR(INDEX(Artistes!$M$2:$M$301,MATCH(C240,Artistes!$A$2:$A$301,0)),""))</f>
        <v/>
      </c>
      <c r="Q240" s="16"/>
    </row>
    <row r="241" spans="1:17" hidden="1" x14ac:dyDescent="0.25">
      <c r="A241" s="16"/>
      <c r="B241" s="16"/>
      <c r="C241" s="16"/>
      <c r="D241" s="18" t="str">
        <f>IF(C241="","",IFERROR(INDEX(Artistes!$B$2:$B$301,MATCH(C241,Artistes!$A$2:$A$301,0)),"ID inconnu"))</f>
        <v/>
      </c>
      <c r="E241" s="16"/>
      <c r="F241" s="16"/>
      <c r="G241" s="16"/>
      <c r="H241" s="16"/>
      <c r="I241" s="16"/>
      <c r="J241" s="16"/>
      <c r="K241" s="16"/>
      <c r="L241" s="16"/>
      <c r="M241" s="16"/>
      <c r="N241" s="18" t="str">
        <f t="shared" si="3"/>
        <v/>
      </c>
      <c r="O241" s="16"/>
      <c r="P241" s="18" t="str">
        <f>IF(C241="","",IFERROR(INDEX(Artistes!$M$2:$M$301,MATCH(C241,Artistes!$A$2:$A$301,0)),""))</f>
        <v/>
      </c>
      <c r="Q241" s="16"/>
    </row>
    <row r="242" spans="1:17" hidden="1" x14ac:dyDescent="0.25">
      <c r="A242" s="16"/>
      <c r="B242" s="16"/>
      <c r="C242" s="16"/>
      <c r="D242" s="18" t="str">
        <f>IF(C242="","",IFERROR(INDEX(Artistes!$B$2:$B$301,MATCH(C242,Artistes!$A$2:$A$301,0)),"ID inconnu"))</f>
        <v/>
      </c>
      <c r="E242" s="16"/>
      <c r="F242" s="16"/>
      <c r="G242" s="16"/>
      <c r="H242" s="16"/>
      <c r="I242" s="16"/>
      <c r="J242" s="16"/>
      <c r="K242" s="16"/>
      <c r="L242" s="16"/>
      <c r="M242" s="16"/>
      <c r="N242" s="18" t="str">
        <f t="shared" si="3"/>
        <v/>
      </c>
      <c r="O242" s="16"/>
      <c r="P242" s="18" t="str">
        <f>IF(C242="","",IFERROR(INDEX(Artistes!$M$2:$M$301,MATCH(C242,Artistes!$A$2:$A$301,0)),""))</f>
        <v/>
      </c>
      <c r="Q242" s="16"/>
    </row>
    <row r="243" spans="1:17" hidden="1" x14ac:dyDescent="0.25">
      <c r="A243" s="16"/>
      <c r="B243" s="16"/>
      <c r="C243" s="16"/>
      <c r="D243" s="18" t="str">
        <f>IF(C243="","",IFERROR(INDEX(Artistes!$B$2:$B$301,MATCH(C243,Artistes!$A$2:$A$301,0)),"ID inconnu"))</f>
        <v/>
      </c>
      <c r="E243" s="16"/>
      <c r="F243" s="16"/>
      <c r="G243" s="16"/>
      <c r="H243" s="16"/>
      <c r="I243" s="16"/>
      <c r="J243" s="16"/>
      <c r="K243" s="16"/>
      <c r="L243" s="16"/>
      <c r="M243" s="16"/>
      <c r="N243" s="18" t="str">
        <f t="shared" si="3"/>
        <v/>
      </c>
      <c r="O243" s="16"/>
      <c r="P243" s="18" t="str">
        <f>IF(C243="","",IFERROR(INDEX(Artistes!$M$2:$M$301,MATCH(C243,Artistes!$A$2:$A$301,0)),""))</f>
        <v/>
      </c>
      <c r="Q243" s="16"/>
    </row>
    <row r="244" spans="1:17" hidden="1" x14ac:dyDescent="0.25">
      <c r="A244" s="16"/>
      <c r="B244" s="16"/>
      <c r="C244" s="16"/>
      <c r="D244" s="18" t="str">
        <f>IF(C244="","",IFERROR(INDEX(Artistes!$B$2:$B$301,MATCH(C244,Artistes!$A$2:$A$301,0)),"ID inconnu"))</f>
        <v/>
      </c>
      <c r="E244" s="16"/>
      <c r="F244" s="16"/>
      <c r="G244" s="16"/>
      <c r="H244" s="16"/>
      <c r="I244" s="16"/>
      <c r="J244" s="16"/>
      <c r="K244" s="16"/>
      <c r="L244" s="16"/>
      <c r="M244" s="16"/>
      <c r="N244" s="18" t="str">
        <f t="shared" si="3"/>
        <v/>
      </c>
      <c r="O244" s="16"/>
      <c r="P244" s="18" t="str">
        <f>IF(C244="","",IFERROR(INDEX(Artistes!$M$2:$M$301,MATCH(C244,Artistes!$A$2:$A$301,0)),""))</f>
        <v/>
      </c>
      <c r="Q244" s="16"/>
    </row>
    <row r="245" spans="1:17" hidden="1" x14ac:dyDescent="0.25">
      <c r="A245" s="16"/>
      <c r="B245" s="16"/>
      <c r="C245" s="16"/>
      <c r="D245" s="18" t="str">
        <f>IF(C245="","",IFERROR(INDEX(Artistes!$B$2:$B$301,MATCH(C245,Artistes!$A$2:$A$301,0)),"ID inconnu"))</f>
        <v/>
      </c>
      <c r="E245" s="16"/>
      <c r="F245" s="16"/>
      <c r="G245" s="16"/>
      <c r="H245" s="16"/>
      <c r="I245" s="16"/>
      <c r="J245" s="16"/>
      <c r="K245" s="16"/>
      <c r="L245" s="16"/>
      <c r="M245" s="16"/>
      <c r="N245" s="18" t="str">
        <f t="shared" si="3"/>
        <v/>
      </c>
      <c r="O245" s="16"/>
      <c r="P245" s="18" t="str">
        <f>IF(C245="","",IFERROR(INDEX(Artistes!$M$2:$M$301,MATCH(C245,Artistes!$A$2:$A$301,0)),""))</f>
        <v/>
      </c>
      <c r="Q245" s="16"/>
    </row>
    <row r="246" spans="1:17" hidden="1" x14ac:dyDescent="0.25">
      <c r="A246" s="16"/>
      <c r="B246" s="16"/>
      <c r="C246" s="16"/>
      <c r="D246" s="18" t="str">
        <f>IF(C246="","",IFERROR(INDEX(Artistes!$B$2:$B$301,MATCH(C246,Artistes!$A$2:$A$301,0)),"ID inconnu"))</f>
        <v/>
      </c>
      <c r="E246" s="16"/>
      <c r="F246" s="16"/>
      <c r="G246" s="16"/>
      <c r="H246" s="16"/>
      <c r="I246" s="16"/>
      <c r="J246" s="16"/>
      <c r="K246" s="16"/>
      <c r="L246" s="16"/>
      <c r="M246" s="16"/>
      <c r="N246" s="18" t="str">
        <f t="shared" si="3"/>
        <v/>
      </c>
      <c r="O246" s="16"/>
      <c r="P246" s="18" t="str">
        <f>IF(C246="","",IFERROR(INDEX(Artistes!$M$2:$M$301,MATCH(C246,Artistes!$A$2:$A$301,0)),""))</f>
        <v/>
      </c>
      <c r="Q246" s="16"/>
    </row>
    <row r="247" spans="1:17" hidden="1" x14ac:dyDescent="0.25">
      <c r="A247" s="16"/>
      <c r="B247" s="16"/>
      <c r="C247" s="16"/>
      <c r="D247" s="18" t="str">
        <f>IF(C247="","",IFERROR(INDEX(Artistes!$B$2:$B$301,MATCH(C247,Artistes!$A$2:$A$301,0)),"ID inconnu"))</f>
        <v/>
      </c>
      <c r="E247" s="16"/>
      <c r="F247" s="16"/>
      <c r="G247" s="16"/>
      <c r="H247" s="16"/>
      <c r="I247" s="16"/>
      <c r="J247" s="16"/>
      <c r="K247" s="16"/>
      <c r="L247" s="16"/>
      <c r="M247" s="16"/>
      <c r="N247" s="18" t="str">
        <f t="shared" si="3"/>
        <v/>
      </c>
      <c r="O247" s="16"/>
      <c r="P247" s="18" t="str">
        <f>IF(C247="","",IFERROR(INDEX(Artistes!$M$2:$M$301,MATCH(C247,Artistes!$A$2:$A$301,0)),""))</f>
        <v/>
      </c>
      <c r="Q247" s="16"/>
    </row>
    <row r="248" spans="1:17" hidden="1" x14ac:dyDescent="0.25">
      <c r="A248" s="16"/>
      <c r="B248" s="16"/>
      <c r="C248" s="16"/>
      <c r="D248" s="18" t="str">
        <f>IF(C248="","",IFERROR(INDEX(Artistes!$B$2:$B$301,MATCH(C248,Artistes!$A$2:$A$301,0)),"ID inconnu"))</f>
        <v/>
      </c>
      <c r="E248" s="16"/>
      <c r="F248" s="16"/>
      <c r="G248" s="16"/>
      <c r="H248" s="16"/>
      <c r="I248" s="16"/>
      <c r="J248" s="16"/>
      <c r="K248" s="16"/>
      <c r="L248" s="16"/>
      <c r="M248" s="16"/>
      <c r="N248" s="18" t="str">
        <f t="shared" si="3"/>
        <v/>
      </c>
      <c r="O248" s="16"/>
      <c r="P248" s="18" t="str">
        <f>IF(C248="","",IFERROR(INDEX(Artistes!$M$2:$M$301,MATCH(C248,Artistes!$A$2:$A$301,0)),""))</f>
        <v/>
      </c>
      <c r="Q248" s="16"/>
    </row>
    <row r="249" spans="1:17" hidden="1" x14ac:dyDescent="0.25">
      <c r="A249" s="16"/>
      <c r="B249" s="16"/>
      <c r="C249" s="16"/>
      <c r="D249" s="18" t="str">
        <f>IF(C249="","",IFERROR(INDEX(Artistes!$B$2:$B$301,MATCH(C249,Artistes!$A$2:$A$301,0)),"ID inconnu"))</f>
        <v/>
      </c>
      <c r="E249" s="16"/>
      <c r="F249" s="16"/>
      <c r="G249" s="16"/>
      <c r="H249" s="16"/>
      <c r="I249" s="16"/>
      <c r="J249" s="16"/>
      <c r="K249" s="16"/>
      <c r="L249" s="16"/>
      <c r="M249" s="16"/>
      <c r="N249" s="18" t="str">
        <f t="shared" si="3"/>
        <v/>
      </c>
      <c r="O249" s="16"/>
      <c r="P249" s="18" t="str">
        <f>IF(C249="","",IFERROR(INDEX(Artistes!$M$2:$M$301,MATCH(C249,Artistes!$A$2:$A$301,0)),""))</f>
        <v/>
      </c>
      <c r="Q249" s="16"/>
    </row>
    <row r="250" spans="1:17" hidden="1" x14ac:dyDescent="0.25">
      <c r="A250" s="16"/>
      <c r="B250" s="16"/>
      <c r="C250" s="16"/>
      <c r="D250" s="18" t="str">
        <f>IF(C250="","",IFERROR(INDEX(Artistes!$B$2:$B$301,MATCH(C250,Artistes!$A$2:$A$301,0)),"ID inconnu"))</f>
        <v/>
      </c>
      <c r="E250" s="16"/>
      <c r="F250" s="16"/>
      <c r="G250" s="16"/>
      <c r="H250" s="16"/>
      <c r="I250" s="16"/>
      <c r="J250" s="16"/>
      <c r="K250" s="16"/>
      <c r="L250" s="16"/>
      <c r="M250" s="16"/>
      <c r="N250" s="18" t="str">
        <f t="shared" si="3"/>
        <v/>
      </c>
      <c r="O250" s="16"/>
      <c r="P250" s="18" t="str">
        <f>IF(C250="","",IFERROR(INDEX(Artistes!$M$2:$M$301,MATCH(C250,Artistes!$A$2:$A$301,0)),""))</f>
        <v/>
      </c>
      <c r="Q250" s="16"/>
    </row>
    <row r="251" spans="1:17" hidden="1" x14ac:dyDescent="0.25">
      <c r="A251" s="16"/>
      <c r="B251" s="16"/>
      <c r="C251" s="16"/>
      <c r="D251" s="18" t="str">
        <f>IF(C251="","",IFERROR(INDEX(Artistes!$B$2:$B$301,MATCH(C251,Artistes!$A$2:$A$301,0)),"ID inconnu"))</f>
        <v/>
      </c>
      <c r="E251" s="16"/>
      <c r="F251" s="16"/>
      <c r="G251" s="16"/>
      <c r="H251" s="16"/>
      <c r="I251" s="16"/>
      <c r="J251" s="16"/>
      <c r="K251" s="16"/>
      <c r="L251" s="16"/>
      <c r="M251" s="16"/>
      <c r="N251" s="18" t="str">
        <f t="shared" si="3"/>
        <v/>
      </c>
      <c r="O251" s="16"/>
      <c r="P251" s="18" t="str">
        <f>IF(C251="","",IFERROR(INDEX(Artistes!$M$2:$M$301,MATCH(C251,Artistes!$A$2:$A$301,0)),""))</f>
        <v/>
      </c>
      <c r="Q251" s="16"/>
    </row>
    <row r="252" spans="1:17" hidden="1" x14ac:dyDescent="0.25">
      <c r="A252" s="16"/>
      <c r="B252" s="16"/>
      <c r="C252" s="16"/>
      <c r="D252" s="18" t="str">
        <f>IF(C252="","",IFERROR(INDEX(Artistes!$B$2:$B$301,MATCH(C252,Artistes!$A$2:$A$301,0)),"ID inconnu"))</f>
        <v/>
      </c>
      <c r="E252" s="16"/>
      <c r="F252" s="16"/>
      <c r="G252" s="16"/>
      <c r="H252" s="16"/>
      <c r="I252" s="16"/>
      <c r="J252" s="16"/>
      <c r="K252" s="16"/>
      <c r="L252" s="16"/>
      <c r="M252" s="16"/>
      <c r="N252" s="18" t="str">
        <f t="shared" si="3"/>
        <v/>
      </c>
      <c r="O252" s="16"/>
      <c r="P252" s="18" t="str">
        <f>IF(C252="","",IFERROR(INDEX(Artistes!$M$2:$M$301,MATCH(C252,Artistes!$A$2:$A$301,0)),""))</f>
        <v/>
      </c>
      <c r="Q252" s="16"/>
    </row>
    <row r="253" spans="1:17" hidden="1" x14ac:dyDescent="0.25">
      <c r="A253" s="16"/>
      <c r="B253" s="16"/>
      <c r="C253" s="16"/>
      <c r="D253" s="18" t="str">
        <f>IF(C253="","",IFERROR(INDEX(Artistes!$B$2:$B$301,MATCH(C253,Artistes!$A$2:$A$301,0)),"ID inconnu"))</f>
        <v/>
      </c>
      <c r="E253" s="16"/>
      <c r="F253" s="16"/>
      <c r="G253" s="16"/>
      <c r="H253" s="16"/>
      <c r="I253" s="16"/>
      <c r="J253" s="16"/>
      <c r="K253" s="16"/>
      <c r="L253" s="16"/>
      <c r="M253" s="16"/>
      <c r="N253" s="18" t="str">
        <f t="shared" si="3"/>
        <v/>
      </c>
      <c r="O253" s="16"/>
      <c r="P253" s="18" t="str">
        <f>IF(C253="","",IFERROR(INDEX(Artistes!$M$2:$M$301,MATCH(C253,Artistes!$A$2:$A$301,0)),""))</f>
        <v/>
      </c>
      <c r="Q253" s="16"/>
    </row>
    <row r="254" spans="1:17" hidden="1" x14ac:dyDescent="0.25">
      <c r="A254" s="16"/>
      <c r="B254" s="16"/>
      <c r="C254" s="16"/>
      <c r="D254" s="18" t="str">
        <f>IF(C254="","",IFERROR(INDEX(Artistes!$B$2:$B$301,MATCH(C254,Artistes!$A$2:$A$301,0)),"ID inconnu"))</f>
        <v/>
      </c>
      <c r="E254" s="16"/>
      <c r="F254" s="16"/>
      <c r="G254" s="16"/>
      <c r="H254" s="16"/>
      <c r="I254" s="16"/>
      <c r="J254" s="16"/>
      <c r="K254" s="16"/>
      <c r="L254" s="16"/>
      <c r="M254" s="16"/>
      <c r="N254" s="18" t="str">
        <f t="shared" si="3"/>
        <v/>
      </c>
      <c r="O254" s="16"/>
      <c r="P254" s="18" t="str">
        <f>IF(C254="","",IFERROR(INDEX(Artistes!$M$2:$M$301,MATCH(C254,Artistes!$A$2:$A$301,0)),""))</f>
        <v/>
      </c>
      <c r="Q254" s="16"/>
    </row>
    <row r="255" spans="1:17" hidden="1" x14ac:dyDescent="0.25">
      <c r="A255" s="16"/>
      <c r="B255" s="16"/>
      <c r="C255" s="16"/>
      <c r="D255" s="18" t="str">
        <f>IF(C255="","",IFERROR(INDEX(Artistes!$B$2:$B$301,MATCH(C255,Artistes!$A$2:$A$301,0)),"ID inconnu"))</f>
        <v/>
      </c>
      <c r="E255" s="16"/>
      <c r="F255" s="16"/>
      <c r="G255" s="16"/>
      <c r="H255" s="16"/>
      <c r="I255" s="16"/>
      <c r="J255" s="16"/>
      <c r="K255" s="16"/>
      <c r="L255" s="16"/>
      <c r="M255" s="16"/>
      <c r="N255" s="18" t="str">
        <f t="shared" si="3"/>
        <v/>
      </c>
      <c r="O255" s="16"/>
      <c r="P255" s="18" t="str">
        <f>IF(C255="","",IFERROR(INDEX(Artistes!$M$2:$M$301,MATCH(C255,Artistes!$A$2:$A$301,0)),""))</f>
        <v/>
      </c>
      <c r="Q255" s="16"/>
    </row>
    <row r="256" spans="1:17" hidden="1" x14ac:dyDescent="0.25">
      <c r="A256" s="16"/>
      <c r="B256" s="16"/>
      <c r="C256" s="16"/>
      <c r="D256" s="18" t="str">
        <f>IF(C256="","",IFERROR(INDEX(Artistes!$B$2:$B$301,MATCH(C256,Artistes!$A$2:$A$301,0)),"ID inconnu"))</f>
        <v/>
      </c>
      <c r="E256" s="16"/>
      <c r="F256" s="16"/>
      <c r="G256" s="16"/>
      <c r="H256" s="16"/>
      <c r="I256" s="16"/>
      <c r="J256" s="16"/>
      <c r="K256" s="16"/>
      <c r="L256" s="16"/>
      <c r="M256" s="16"/>
      <c r="N256" s="18" t="str">
        <f t="shared" si="3"/>
        <v/>
      </c>
      <c r="O256" s="16"/>
      <c r="P256" s="18" t="str">
        <f>IF(C256="","",IFERROR(INDEX(Artistes!$M$2:$M$301,MATCH(C256,Artistes!$A$2:$A$301,0)),""))</f>
        <v/>
      </c>
      <c r="Q256" s="16"/>
    </row>
    <row r="257" spans="1:17" hidden="1" x14ac:dyDescent="0.25">
      <c r="A257" s="16"/>
      <c r="B257" s="16"/>
      <c r="C257" s="16"/>
      <c r="D257" s="18" t="str">
        <f>IF(C257="","",IFERROR(INDEX(Artistes!$B$2:$B$301,MATCH(C257,Artistes!$A$2:$A$301,0)),"ID inconnu"))</f>
        <v/>
      </c>
      <c r="E257" s="16"/>
      <c r="F257" s="16"/>
      <c r="G257" s="16"/>
      <c r="H257" s="16"/>
      <c r="I257" s="16"/>
      <c r="J257" s="16"/>
      <c r="K257" s="16"/>
      <c r="L257" s="16"/>
      <c r="M257" s="16"/>
      <c r="N257" s="18" t="str">
        <f t="shared" si="3"/>
        <v/>
      </c>
      <c r="O257" s="16"/>
      <c r="P257" s="18" t="str">
        <f>IF(C257="","",IFERROR(INDEX(Artistes!$M$2:$M$301,MATCH(C257,Artistes!$A$2:$A$301,0)),""))</f>
        <v/>
      </c>
      <c r="Q257" s="16"/>
    </row>
    <row r="258" spans="1:17" hidden="1" x14ac:dyDescent="0.25">
      <c r="A258" s="16"/>
      <c r="B258" s="16"/>
      <c r="C258" s="16"/>
      <c r="D258" s="18" t="str">
        <f>IF(C258="","",IFERROR(INDEX(Artistes!$B$2:$B$301,MATCH(C258,Artistes!$A$2:$A$301,0)),"ID inconnu"))</f>
        <v/>
      </c>
      <c r="E258" s="16"/>
      <c r="F258" s="16"/>
      <c r="G258" s="16"/>
      <c r="H258" s="16"/>
      <c r="I258" s="16"/>
      <c r="J258" s="16"/>
      <c r="K258" s="16"/>
      <c r="L258" s="16"/>
      <c r="M258" s="16"/>
      <c r="N258" s="18" t="str">
        <f t="shared" ref="N258:N301" si="4">IF(A258="","","oeuvres/"&amp;A258&amp;".md")</f>
        <v/>
      </c>
      <c r="O258" s="16"/>
      <c r="P258" s="18" t="str">
        <f>IF(C258="","",IFERROR(INDEX(Artistes!$M$2:$M$301,MATCH(C258,Artistes!$A$2:$A$301,0)),""))</f>
        <v/>
      </c>
      <c r="Q258" s="16"/>
    </row>
    <row r="259" spans="1:17" hidden="1" x14ac:dyDescent="0.25">
      <c r="A259" s="16"/>
      <c r="B259" s="16"/>
      <c r="C259" s="16"/>
      <c r="D259" s="18" t="str">
        <f>IF(C259="","",IFERROR(INDEX(Artistes!$B$2:$B$301,MATCH(C259,Artistes!$A$2:$A$301,0)),"ID inconnu"))</f>
        <v/>
      </c>
      <c r="E259" s="16"/>
      <c r="F259" s="16"/>
      <c r="G259" s="16"/>
      <c r="H259" s="16"/>
      <c r="I259" s="16"/>
      <c r="J259" s="16"/>
      <c r="K259" s="16"/>
      <c r="L259" s="16"/>
      <c r="M259" s="16"/>
      <c r="N259" s="18" t="str">
        <f t="shared" si="4"/>
        <v/>
      </c>
      <c r="O259" s="16"/>
      <c r="P259" s="18" t="str">
        <f>IF(C259="","",IFERROR(INDEX(Artistes!$M$2:$M$301,MATCH(C259,Artistes!$A$2:$A$301,0)),""))</f>
        <v/>
      </c>
      <c r="Q259" s="16"/>
    </row>
    <row r="260" spans="1:17" hidden="1" x14ac:dyDescent="0.25">
      <c r="A260" s="16"/>
      <c r="B260" s="16"/>
      <c r="C260" s="16"/>
      <c r="D260" s="18" t="str">
        <f>IF(C260="","",IFERROR(INDEX(Artistes!$B$2:$B$301,MATCH(C260,Artistes!$A$2:$A$301,0)),"ID inconnu"))</f>
        <v/>
      </c>
      <c r="E260" s="16"/>
      <c r="F260" s="16"/>
      <c r="G260" s="16"/>
      <c r="H260" s="16"/>
      <c r="I260" s="16"/>
      <c r="J260" s="16"/>
      <c r="K260" s="16"/>
      <c r="L260" s="16"/>
      <c r="M260" s="16"/>
      <c r="N260" s="18" t="str">
        <f t="shared" si="4"/>
        <v/>
      </c>
      <c r="O260" s="16"/>
      <c r="P260" s="18" t="str">
        <f>IF(C260="","",IFERROR(INDEX(Artistes!$M$2:$M$301,MATCH(C260,Artistes!$A$2:$A$301,0)),""))</f>
        <v/>
      </c>
      <c r="Q260" s="16"/>
    </row>
    <row r="261" spans="1:17" hidden="1" x14ac:dyDescent="0.25">
      <c r="A261" s="16"/>
      <c r="B261" s="16"/>
      <c r="C261" s="16"/>
      <c r="D261" s="18" t="str">
        <f>IF(C261="","",IFERROR(INDEX(Artistes!$B$2:$B$301,MATCH(C261,Artistes!$A$2:$A$301,0)),"ID inconnu"))</f>
        <v/>
      </c>
      <c r="E261" s="16"/>
      <c r="F261" s="16"/>
      <c r="G261" s="16"/>
      <c r="H261" s="16"/>
      <c r="I261" s="16"/>
      <c r="J261" s="16"/>
      <c r="K261" s="16"/>
      <c r="L261" s="16"/>
      <c r="M261" s="16"/>
      <c r="N261" s="18" t="str">
        <f t="shared" si="4"/>
        <v/>
      </c>
      <c r="O261" s="16"/>
      <c r="P261" s="18" t="str">
        <f>IF(C261="","",IFERROR(INDEX(Artistes!$M$2:$M$301,MATCH(C261,Artistes!$A$2:$A$301,0)),""))</f>
        <v/>
      </c>
      <c r="Q261" s="16"/>
    </row>
    <row r="262" spans="1:17" hidden="1" x14ac:dyDescent="0.25">
      <c r="A262" s="16"/>
      <c r="B262" s="16"/>
      <c r="C262" s="16"/>
      <c r="D262" s="18" t="str">
        <f>IF(C262="","",IFERROR(INDEX(Artistes!$B$2:$B$301,MATCH(C262,Artistes!$A$2:$A$301,0)),"ID inconnu"))</f>
        <v/>
      </c>
      <c r="E262" s="16"/>
      <c r="F262" s="16"/>
      <c r="G262" s="16"/>
      <c r="H262" s="16"/>
      <c r="I262" s="16"/>
      <c r="J262" s="16"/>
      <c r="K262" s="16"/>
      <c r="L262" s="16"/>
      <c r="M262" s="16"/>
      <c r="N262" s="18" t="str">
        <f t="shared" si="4"/>
        <v/>
      </c>
      <c r="O262" s="16"/>
      <c r="P262" s="18" t="str">
        <f>IF(C262="","",IFERROR(INDEX(Artistes!$M$2:$M$301,MATCH(C262,Artistes!$A$2:$A$301,0)),""))</f>
        <v/>
      </c>
      <c r="Q262" s="16"/>
    </row>
    <row r="263" spans="1:17" hidden="1" x14ac:dyDescent="0.25">
      <c r="A263" s="16"/>
      <c r="B263" s="16"/>
      <c r="C263" s="16"/>
      <c r="D263" s="18" t="str">
        <f>IF(C263="","",IFERROR(INDEX(Artistes!$B$2:$B$301,MATCH(C263,Artistes!$A$2:$A$301,0)),"ID inconnu"))</f>
        <v/>
      </c>
      <c r="E263" s="16"/>
      <c r="F263" s="16"/>
      <c r="G263" s="16"/>
      <c r="H263" s="16"/>
      <c r="I263" s="16"/>
      <c r="J263" s="16"/>
      <c r="K263" s="16"/>
      <c r="L263" s="16"/>
      <c r="M263" s="16"/>
      <c r="N263" s="18" t="str">
        <f t="shared" si="4"/>
        <v/>
      </c>
      <c r="O263" s="16"/>
      <c r="P263" s="18" t="str">
        <f>IF(C263="","",IFERROR(INDEX(Artistes!$M$2:$M$301,MATCH(C263,Artistes!$A$2:$A$301,0)),""))</f>
        <v/>
      </c>
      <c r="Q263" s="16"/>
    </row>
    <row r="264" spans="1:17" hidden="1" x14ac:dyDescent="0.25">
      <c r="A264" s="16"/>
      <c r="B264" s="16"/>
      <c r="C264" s="16"/>
      <c r="D264" s="18" t="str">
        <f>IF(C264="","",IFERROR(INDEX(Artistes!$B$2:$B$301,MATCH(C264,Artistes!$A$2:$A$301,0)),"ID inconnu"))</f>
        <v/>
      </c>
      <c r="E264" s="16"/>
      <c r="F264" s="16"/>
      <c r="G264" s="16"/>
      <c r="H264" s="16"/>
      <c r="I264" s="16"/>
      <c r="J264" s="16"/>
      <c r="K264" s="16"/>
      <c r="L264" s="16"/>
      <c r="M264" s="16"/>
      <c r="N264" s="18" t="str">
        <f t="shared" si="4"/>
        <v/>
      </c>
      <c r="O264" s="16"/>
      <c r="P264" s="18" t="str">
        <f>IF(C264="","",IFERROR(INDEX(Artistes!$M$2:$M$301,MATCH(C264,Artistes!$A$2:$A$301,0)),""))</f>
        <v/>
      </c>
      <c r="Q264" s="16"/>
    </row>
    <row r="265" spans="1:17" hidden="1" x14ac:dyDescent="0.25">
      <c r="A265" s="16"/>
      <c r="B265" s="16"/>
      <c r="C265" s="16"/>
      <c r="D265" s="18" t="str">
        <f>IF(C265="","",IFERROR(INDEX(Artistes!$B$2:$B$301,MATCH(C265,Artistes!$A$2:$A$301,0)),"ID inconnu"))</f>
        <v/>
      </c>
      <c r="E265" s="16"/>
      <c r="F265" s="16"/>
      <c r="G265" s="16"/>
      <c r="H265" s="16"/>
      <c r="I265" s="16"/>
      <c r="J265" s="16"/>
      <c r="K265" s="16"/>
      <c r="L265" s="16"/>
      <c r="M265" s="16"/>
      <c r="N265" s="18" t="str">
        <f t="shared" si="4"/>
        <v/>
      </c>
      <c r="O265" s="16"/>
      <c r="P265" s="18" t="str">
        <f>IF(C265="","",IFERROR(INDEX(Artistes!$M$2:$M$301,MATCH(C265,Artistes!$A$2:$A$301,0)),""))</f>
        <v/>
      </c>
      <c r="Q265" s="16"/>
    </row>
    <row r="266" spans="1:17" hidden="1" x14ac:dyDescent="0.25">
      <c r="A266" s="16"/>
      <c r="B266" s="16"/>
      <c r="C266" s="16"/>
      <c r="D266" s="18" t="str">
        <f>IF(C266="","",IFERROR(INDEX(Artistes!$B$2:$B$301,MATCH(C266,Artistes!$A$2:$A$301,0)),"ID inconnu"))</f>
        <v/>
      </c>
      <c r="E266" s="16"/>
      <c r="F266" s="16"/>
      <c r="G266" s="16"/>
      <c r="H266" s="16"/>
      <c r="I266" s="16"/>
      <c r="J266" s="16"/>
      <c r="K266" s="16"/>
      <c r="L266" s="16"/>
      <c r="M266" s="16"/>
      <c r="N266" s="18" t="str">
        <f t="shared" si="4"/>
        <v/>
      </c>
      <c r="O266" s="16"/>
      <c r="P266" s="18" t="str">
        <f>IF(C266="","",IFERROR(INDEX(Artistes!$M$2:$M$301,MATCH(C266,Artistes!$A$2:$A$301,0)),""))</f>
        <v/>
      </c>
      <c r="Q266" s="16"/>
    </row>
    <row r="267" spans="1:17" hidden="1" x14ac:dyDescent="0.25">
      <c r="A267" s="16"/>
      <c r="B267" s="16"/>
      <c r="C267" s="16"/>
      <c r="D267" s="18" t="str">
        <f>IF(C267="","",IFERROR(INDEX(Artistes!$B$2:$B$301,MATCH(C267,Artistes!$A$2:$A$301,0)),"ID inconnu"))</f>
        <v/>
      </c>
      <c r="E267" s="16"/>
      <c r="F267" s="16"/>
      <c r="G267" s="16"/>
      <c r="H267" s="16"/>
      <c r="I267" s="16"/>
      <c r="J267" s="16"/>
      <c r="K267" s="16"/>
      <c r="L267" s="16"/>
      <c r="M267" s="16"/>
      <c r="N267" s="18" t="str">
        <f t="shared" si="4"/>
        <v/>
      </c>
      <c r="O267" s="16"/>
      <c r="P267" s="18" t="str">
        <f>IF(C267="","",IFERROR(INDEX(Artistes!$M$2:$M$301,MATCH(C267,Artistes!$A$2:$A$301,0)),""))</f>
        <v/>
      </c>
      <c r="Q267" s="16"/>
    </row>
    <row r="268" spans="1:17" hidden="1" x14ac:dyDescent="0.25">
      <c r="A268" s="16"/>
      <c r="B268" s="16"/>
      <c r="C268" s="16"/>
      <c r="D268" s="18" t="str">
        <f>IF(C268="","",IFERROR(INDEX(Artistes!$B$2:$B$301,MATCH(C268,Artistes!$A$2:$A$301,0)),"ID inconnu"))</f>
        <v/>
      </c>
      <c r="E268" s="16"/>
      <c r="F268" s="16"/>
      <c r="G268" s="16"/>
      <c r="H268" s="16"/>
      <c r="I268" s="16"/>
      <c r="J268" s="16"/>
      <c r="K268" s="16"/>
      <c r="L268" s="16"/>
      <c r="M268" s="16"/>
      <c r="N268" s="18" t="str">
        <f t="shared" si="4"/>
        <v/>
      </c>
      <c r="O268" s="16"/>
      <c r="P268" s="18" t="str">
        <f>IF(C268="","",IFERROR(INDEX(Artistes!$M$2:$M$301,MATCH(C268,Artistes!$A$2:$A$301,0)),""))</f>
        <v/>
      </c>
      <c r="Q268" s="16"/>
    </row>
    <row r="269" spans="1:17" hidden="1" x14ac:dyDescent="0.25">
      <c r="A269" s="16"/>
      <c r="B269" s="16"/>
      <c r="C269" s="16"/>
      <c r="D269" s="18" t="str">
        <f>IF(C269="","",IFERROR(INDEX(Artistes!$B$2:$B$301,MATCH(C269,Artistes!$A$2:$A$301,0)),"ID inconnu"))</f>
        <v/>
      </c>
      <c r="E269" s="16"/>
      <c r="F269" s="16"/>
      <c r="G269" s="16"/>
      <c r="H269" s="16"/>
      <c r="I269" s="16"/>
      <c r="J269" s="16"/>
      <c r="K269" s="16"/>
      <c r="L269" s="16"/>
      <c r="M269" s="16"/>
      <c r="N269" s="18" t="str">
        <f t="shared" si="4"/>
        <v/>
      </c>
      <c r="O269" s="16"/>
      <c r="P269" s="18" t="str">
        <f>IF(C269="","",IFERROR(INDEX(Artistes!$M$2:$M$301,MATCH(C269,Artistes!$A$2:$A$301,0)),""))</f>
        <v/>
      </c>
      <c r="Q269" s="16"/>
    </row>
    <row r="270" spans="1:17" hidden="1" x14ac:dyDescent="0.25">
      <c r="A270" s="16"/>
      <c r="B270" s="16"/>
      <c r="C270" s="16"/>
      <c r="D270" s="18" t="str">
        <f>IF(C270="","",IFERROR(INDEX(Artistes!$B$2:$B$301,MATCH(C270,Artistes!$A$2:$A$301,0)),"ID inconnu"))</f>
        <v/>
      </c>
      <c r="E270" s="16"/>
      <c r="F270" s="16"/>
      <c r="G270" s="16"/>
      <c r="H270" s="16"/>
      <c r="I270" s="16"/>
      <c r="J270" s="16"/>
      <c r="K270" s="16"/>
      <c r="L270" s="16"/>
      <c r="M270" s="16"/>
      <c r="N270" s="18" t="str">
        <f t="shared" si="4"/>
        <v/>
      </c>
      <c r="O270" s="16"/>
      <c r="P270" s="18" t="str">
        <f>IF(C270="","",IFERROR(INDEX(Artistes!$M$2:$M$301,MATCH(C270,Artistes!$A$2:$A$301,0)),""))</f>
        <v/>
      </c>
      <c r="Q270" s="16"/>
    </row>
    <row r="271" spans="1:17" hidden="1" x14ac:dyDescent="0.25">
      <c r="A271" s="16"/>
      <c r="B271" s="16"/>
      <c r="C271" s="16"/>
      <c r="D271" s="18" t="str">
        <f>IF(C271="","",IFERROR(INDEX(Artistes!$B$2:$B$301,MATCH(C271,Artistes!$A$2:$A$301,0)),"ID inconnu"))</f>
        <v/>
      </c>
      <c r="E271" s="16"/>
      <c r="F271" s="16"/>
      <c r="G271" s="16"/>
      <c r="H271" s="16"/>
      <c r="I271" s="16"/>
      <c r="J271" s="16"/>
      <c r="K271" s="16"/>
      <c r="L271" s="16"/>
      <c r="M271" s="16"/>
      <c r="N271" s="18" t="str">
        <f t="shared" si="4"/>
        <v/>
      </c>
      <c r="O271" s="16"/>
      <c r="P271" s="18" t="str">
        <f>IF(C271="","",IFERROR(INDEX(Artistes!$M$2:$M$301,MATCH(C271,Artistes!$A$2:$A$301,0)),""))</f>
        <v/>
      </c>
      <c r="Q271" s="16"/>
    </row>
    <row r="272" spans="1:17" hidden="1" x14ac:dyDescent="0.25">
      <c r="A272" s="16"/>
      <c r="B272" s="16"/>
      <c r="C272" s="16"/>
      <c r="D272" s="18" t="str">
        <f>IF(C272="","",IFERROR(INDEX(Artistes!$B$2:$B$301,MATCH(C272,Artistes!$A$2:$A$301,0)),"ID inconnu"))</f>
        <v/>
      </c>
      <c r="E272" s="16"/>
      <c r="F272" s="16"/>
      <c r="G272" s="16"/>
      <c r="H272" s="16"/>
      <c r="I272" s="16"/>
      <c r="J272" s="16"/>
      <c r="K272" s="16"/>
      <c r="L272" s="16"/>
      <c r="M272" s="16"/>
      <c r="N272" s="18" t="str">
        <f t="shared" si="4"/>
        <v/>
      </c>
      <c r="O272" s="16"/>
      <c r="P272" s="18" t="str">
        <f>IF(C272="","",IFERROR(INDEX(Artistes!$M$2:$M$301,MATCH(C272,Artistes!$A$2:$A$301,0)),""))</f>
        <v/>
      </c>
      <c r="Q272" s="16"/>
    </row>
    <row r="273" spans="1:17" hidden="1" x14ac:dyDescent="0.25">
      <c r="A273" s="16"/>
      <c r="B273" s="16"/>
      <c r="C273" s="16"/>
      <c r="D273" s="18" t="str">
        <f>IF(C273="","",IFERROR(INDEX(Artistes!$B$2:$B$301,MATCH(C273,Artistes!$A$2:$A$301,0)),"ID inconnu"))</f>
        <v/>
      </c>
      <c r="E273" s="16"/>
      <c r="F273" s="16"/>
      <c r="G273" s="16"/>
      <c r="H273" s="16"/>
      <c r="I273" s="16"/>
      <c r="J273" s="16"/>
      <c r="K273" s="16"/>
      <c r="L273" s="16"/>
      <c r="M273" s="16"/>
      <c r="N273" s="18" t="str">
        <f t="shared" si="4"/>
        <v/>
      </c>
      <c r="O273" s="16"/>
      <c r="P273" s="18" t="str">
        <f>IF(C273="","",IFERROR(INDEX(Artistes!$M$2:$M$301,MATCH(C273,Artistes!$A$2:$A$301,0)),""))</f>
        <v/>
      </c>
      <c r="Q273" s="16"/>
    </row>
    <row r="274" spans="1:17" hidden="1" x14ac:dyDescent="0.25">
      <c r="A274" s="16"/>
      <c r="B274" s="16"/>
      <c r="C274" s="16"/>
      <c r="D274" s="18" t="str">
        <f>IF(C274="","",IFERROR(INDEX(Artistes!$B$2:$B$301,MATCH(C274,Artistes!$A$2:$A$301,0)),"ID inconnu"))</f>
        <v/>
      </c>
      <c r="E274" s="16"/>
      <c r="F274" s="16"/>
      <c r="G274" s="16"/>
      <c r="H274" s="16"/>
      <c r="I274" s="16"/>
      <c r="J274" s="16"/>
      <c r="K274" s="16"/>
      <c r="L274" s="16"/>
      <c r="M274" s="16"/>
      <c r="N274" s="18" t="str">
        <f t="shared" si="4"/>
        <v/>
      </c>
      <c r="O274" s="16"/>
      <c r="P274" s="18" t="str">
        <f>IF(C274="","",IFERROR(INDEX(Artistes!$M$2:$M$301,MATCH(C274,Artistes!$A$2:$A$301,0)),""))</f>
        <v/>
      </c>
      <c r="Q274" s="16"/>
    </row>
    <row r="275" spans="1:17" hidden="1" x14ac:dyDescent="0.25">
      <c r="A275" s="16"/>
      <c r="B275" s="16"/>
      <c r="C275" s="16"/>
      <c r="D275" s="18" t="str">
        <f>IF(C275="","",IFERROR(INDEX(Artistes!$B$2:$B$301,MATCH(C275,Artistes!$A$2:$A$301,0)),"ID inconnu"))</f>
        <v/>
      </c>
      <c r="E275" s="16"/>
      <c r="F275" s="16"/>
      <c r="G275" s="16"/>
      <c r="H275" s="16"/>
      <c r="I275" s="16"/>
      <c r="J275" s="16"/>
      <c r="K275" s="16"/>
      <c r="L275" s="16"/>
      <c r="M275" s="16"/>
      <c r="N275" s="18" t="str">
        <f t="shared" si="4"/>
        <v/>
      </c>
      <c r="O275" s="16"/>
      <c r="P275" s="18" t="str">
        <f>IF(C275="","",IFERROR(INDEX(Artistes!$M$2:$M$301,MATCH(C275,Artistes!$A$2:$A$301,0)),""))</f>
        <v/>
      </c>
      <c r="Q275" s="16"/>
    </row>
    <row r="276" spans="1:17" hidden="1" x14ac:dyDescent="0.25">
      <c r="A276" s="16"/>
      <c r="B276" s="16"/>
      <c r="C276" s="16"/>
      <c r="D276" s="18" t="str">
        <f>IF(C276="","",IFERROR(INDEX(Artistes!$B$2:$B$301,MATCH(C276,Artistes!$A$2:$A$301,0)),"ID inconnu"))</f>
        <v/>
      </c>
      <c r="E276" s="16"/>
      <c r="F276" s="16"/>
      <c r="G276" s="16"/>
      <c r="H276" s="16"/>
      <c r="I276" s="16"/>
      <c r="J276" s="16"/>
      <c r="K276" s="16"/>
      <c r="L276" s="16"/>
      <c r="M276" s="16"/>
      <c r="N276" s="18" t="str">
        <f t="shared" si="4"/>
        <v/>
      </c>
      <c r="O276" s="16"/>
      <c r="P276" s="18" t="str">
        <f>IF(C276="","",IFERROR(INDEX(Artistes!$M$2:$M$301,MATCH(C276,Artistes!$A$2:$A$301,0)),""))</f>
        <v/>
      </c>
      <c r="Q276" s="16"/>
    </row>
    <row r="277" spans="1:17" hidden="1" x14ac:dyDescent="0.25">
      <c r="A277" s="16"/>
      <c r="B277" s="16"/>
      <c r="C277" s="16"/>
      <c r="D277" s="18" t="str">
        <f>IF(C277="","",IFERROR(INDEX(Artistes!$B$2:$B$301,MATCH(C277,Artistes!$A$2:$A$301,0)),"ID inconnu"))</f>
        <v/>
      </c>
      <c r="E277" s="16"/>
      <c r="F277" s="16"/>
      <c r="G277" s="16"/>
      <c r="H277" s="16"/>
      <c r="I277" s="16"/>
      <c r="J277" s="16"/>
      <c r="K277" s="16"/>
      <c r="L277" s="16"/>
      <c r="M277" s="16"/>
      <c r="N277" s="18" t="str">
        <f t="shared" si="4"/>
        <v/>
      </c>
      <c r="O277" s="16"/>
      <c r="P277" s="18" t="str">
        <f>IF(C277="","",IFERROR(INDEX(Artistes!$M$2:$M$301,MATCH(C277,Artistes!$A$2:$A$301,0)),""))</f>
        <v/>
      </c>
      <c r="Q277" s="16"/>
    </row>
    <row r="278" spans="1:17" hidden="1" x14ac:dyDescent="0.25">
      <c r="A278" s="16"/>
      <c r="B278" s="16"/>
      <c r="C278" s="16"/>
      <c r="D278" s="18" t="str">
        <f>IF(C278="","",IFERROR(INDEX(Artistes!$B$2:$B$301,MATCH(C278,Artistes!$A$2:$A$301,0)),"ID inconnu"))</f>
        <v/>
      </c>
      <c r="E278" s="16"/>
      <c r="F278" s="16"/>
      <c r="G278" s="16"/>
      <c r="H278" s="16"/>
      <c r="I278" s="16"/>
      <c r="J278" s="16"/>
      <c r="K278" s="16"/>
      <c r="L278" s="16"/>
      <c r="M278" s="16"/>
      <c r="N278" s="18" t="str">
        <f t="shared" si="4"/>
        <v/>
      </c>
      <c r="O278" s="16"/>
      <c r="P278" s="18" t="str">
        <f>IF(C278="","",IFERROR(INDEX(Artistes!$M$2:$M$301,MATCH(C278,Artistes!$A$2:$A$301,0)),""))</f>
        <v/>
      </c>
      <c r="Q278" s="16"/>
    </row>
    <row r="279" spans="1:17" hidden="1" x14ac:dyDescent="0.25">
      <c r="A279" s="16"/>
      <c r="B279" s="16"/>
      <c r="C279" s="16"/>
      <c r="D279" s="18" t="str">
        <f>IF(C279="","",IFERROR(INDEX(Artistes!$B$2:$B$301,MATCH(C279,Artistes!$A$2:$A$301,0)),"ID inconnu"))</f>
        <v/>
      </c>
      <c r="E279" s="16"/>
      <c r="F279" s="16"/>
      <c r="G279" s="16"/>
      <c r="H279" s="16"/>
      <c r="I279" s="16"/>
      <c r="J279" s="16"/>
      <c r="K279" s="16"/>
      <c r="L279" s="16"/>
      <c r="M279" s="16"/>
      <c r="N279" s="18" t="str">
        <f t="shared" si="4"/>
        <v/>
      </c>
      <c r="O279" s="16"/>
      <c r="P279" s="18" t="str">
        <f>IF(C279="","",IFERROR(INDEX(Artistes!$M$2:$M$301,MATCH(C279,Artistes!$A$2:$A$301,0)),""))</f>
        <v/>
      </c>
      <c r="Q279" s="16"/>
    </row>
    <row r="280" spans="1:17" hidden="1" x14ac:dyDescent="0.25">
      <c r="A280" s="16"/>
      <c r="B280" s="16"/>
      <c r="C280" s="16"/>
      <c r="D280" s="18" t="str">
        <f>IF(C280="","",IFERROR(INDEX(Artistes!$B$2:$B$301,MATCH(C280,Artistes!$A$2:$A$301,0)),"ID inconnu"))</f>
        <v/>
      </c>
      <c r="E280" s="16"/>
      <c r="F280" s="16"/>
      <c r="G280" s="16"/>
      <c r="H280" s="16"/>
      <c r="I280" s="16"/>
      <c r="J280" s="16"/>
      <c r="K280" s="16"/>
      <c r="L280" s="16"/>
      <c r="M280" s="16"/>
      <c r="N280" s="18" t="str">
        <f t="shared" si="4"/>
        <v/>
      </c>
      <c r="O280" s="16"/>
      <c r="P280" s="18" t="str">
        <f>IF(C280="","",IFERROR(INDEX(Artistes!$M$2:$M$301,MATCH(C280,Artistes!$A$2:$A$301,0)),""))</f>
        <v/>
      </c>
      <c r="Q280" s="16"/>
    </row>
    <row r="281" spans="1:17" hidden="1" x14ac:dyDescent="0.25">
      <c r="A281" s="16"/>
      <c r="B281" s="16"/>
      <c r="C281" s="16"/>
      <c r="D281" s="18" t="str">
        <f>IF(C281="","",IFERROR(INDEX(Artistes!$B$2:$B$301,MATCH(C281,Artistes!$A$2:$A$301,0)),"ID inconnu"))</f>
        <v/>
      </c>
      <c r="E281" s="16"/>
      <c r="F281" s="16"/>
      <c r="G281" s="16"/>
      <c r="H281" s="16"/>
      <c r="I281" s="16"/>
      <c r="J281" s="16"/>
      <c r="K281" s="16"/>
      <c r="L281" s="16"/>
      <c r="M281" s="16"/>
      <c r="N281" s="18" t="str">
        <f t="shared" si="4"/>
        <v/>
      </c>
      <c r="O281" s="16"/>
      <c r="P281" s="18" t="str">
        <f>IF(C281="","",IFERROR(INDEX(Artistes!$M$2:$M$301,MATCH(C281,Artistes!$A$2:$A$301,0)),""))</f>
        <v/>
      </c>
      <c r="Q281" s="16"/>
    </row>
    <row r="282" spans="1:17" hidden="1" x14ac:dyDescent="0.25">
      <c r="A282" s="16"/>
      <c r="B282" s="16"/>
      <c r="C282" s="16"/>
      <c r="D282" s="18" t="str">
        <f>IF(C282="","",IFERROR(INDEX(Artistes!$B$2:$B$301,MATCH(C282,Artistes!$A$2:$A$301,0)),"ID inconnu"))</f>
        <v/>
      </c>
      <c r="E282" s="16"/>
      <c r="F282" s="16"/>
      <c r="G282" s="16"/>
      <c r="H282" s="16"/>
      <c r="I282" s="16"/>
      <c r="J282" s="16"/>
      <c r="K282" s="16"/>
      <c r="L282" s="16"/>
      <c r="M282" s="16"/>
      <c r="N282" s="18" t="str">
        <f t="shared" si="4"/>
        <v/>
      </c>
      <c r="O282" s="16"/>
      <c r="P282" s="18" t="str">
        <f>IF(C282="","",IFERROR(INDEX(Artistes!$M$2:$M$301,MATCH(C282,Artistes!$A$2:$A$301,0)),""))</f>
        <v/>
      </c>
      <c r="Q282" s="16"/>
    </row>
    <row r="283" spans="1:17" hidden="1" x14ac:dyDescent="0.25">
      <c r="A283" s="16"/>
      <c r="B283" s="16"/>
      <c r="C283" s="16"/>
      <c r="D283" s="18" t="str">
        <f>IF(C283="","",IFERROR(INDEX(Artistes!$B$2:$B$301,MATCH(C283,Artistes!$A$2:$A$301,0)),"ID inconnu"))</f>
        <v/>
      </c>
      <c r="E283" s="16"/>
      <c r="F283" s="16"/>
      <c r="G283" s="16"/>
      <c r="H283" s="16"/>
      <c r="I283" s="16"/>
      <c r="J283" s="16"/>
      <c r="K283" s="16"/>
      <c r="L283" s="16"/>
      <c r="M283" s="16"/>
      <c r="N283" s="18" t="str">
        <f t="shared" si="4"/>
        <v/>
      </c>
      <c r="O283" s="16"/>
      <c r="P283" s="18" t="str">
        <f>IF(C283="","",IFERROR(INDEX(Artistes!$M$2:$M$301,MATCH(C283,Artistes!$A$2:$A$301,0)),""))</f>
        <v/>
      </c>
      <c r="Q283" s="16"/>
    </row>
    <row r="284" spans="1:17" hidden="1" x14ac:dyDescent="0.25">
      <c r="A284" s="16"/>
      <c r="B284" s="16"/>
      <c r="C284" s="16"/>
      <c r="D284" s="18" t="str">
        <f>IF(C284="","",IFERROR(INDEX(Artistes!$B$2:$B$301,MATCH(C284,Artistes!$A$2:$A$301,0)),"ID inconnu"))</f>
        <v/>
      </c>
      <c r="E284" s="16"/>
      <c r="F284" s="16"/>
      <c r="G284" s="16"/>
      <c r="H284" s="16"/>
      <c r="I284" s="16"/>
      <c r="J284" s="16"/>
      <c r="K284" s="16"/>
      <c r="L284" s="16"/>
      <c r="M284" s="16"/>
      <c r="N284" s="18" t="str">
        <f t="shared" si="4"/>
        <v/>
      </c>
      <c r="O284" s="16"/>
      <c r="P284" s="18" t="str">
        <f>IF(C284="","",IFERROR(INDEX(Artistes!$M$2:$M$301,MATCH(C284,Artistes!$A$2:$A$301,0)),""))</f>
        <v/>
      </c>
      <c r="Q284" s="16"/>
    </row>
    <row r="285" spans="1:17" hidden="1" x14ac:dyDescent="0.25">
      <c r="A285" s="16"/>
      <c r="B285" s="16"/>
      <c r="C285" s="16"/>
      <c r="D285" s="18" t="str">
        <f>IF(C285="","",IFERROR(INDEX(Artistes!$B$2:$B$301,MATCH(C285,Artistes!$A$2:$A$301,0)),"ID inconnu"))</f>
        <v/>
      </c>
      <c r="E285" s="16"/>
      <c r="F285" s="16"/>
      <c r="G285" s="16"/>
      <c r="H285" s="16"/>
      <c r="I285" s="16"/>
      <c r="J285" s="16"/>
      <c r="K285" s="16"/>
      <c r="L285" s="16"/>
      <c r="M285" s="16"/>
      <c r="N285" s="18" t="str">
        <f t="shared" si="4"/>
        <v/>
      </c>
      <c r="O285" s="16"/>
      <c r="P285" s="18" t="str">
        <f>IF(C285="","",IFERROR(INDEX(Artistes!$M$2:$M$301,MATCH(C285,Artistes!$A$2:$A$301,0)),""))</f>
        <v/>
      </c>
      <c r="Q285" s="16"/>
    </row>
    <row r="286" spans="1:17" hidden="1" x14ac:dyDescent="0.25">
      <c r="A286" s="16"/>
      <c r="B286" s="16"/>
      <c r="C286" s="16"/>
      <c r="D286" s="18" t="str">
        <f>IF(C286="","",IFERROR(INDEX(Artistes!$B$2:$B$301,MATCH(C286,Artistes!$A$2:$A$301,0)),"ID inconnu"))</f>
        <v/>
      </c>
      <c r="E286" s="16"/>
      <c r="F286" s="16"/>
      <c r="G286" s="16"/>
      <c r="H286" s="16"/>
      <c r="I286" s="16"/>
      <c r="J286" s="16"/>
      <c r="K286" s="16"/>
      <c r="L286" s="16"/>
      <c r="M286" s="16"/>
      <c r="N286" s="18" t="str">
        <f t="shared" si="4"/>
        <v/>
      </c>
      <c r="O286" s="16"/>
      <c r="P286" s="18" t="str">
        <f>IF(C286="","",IFERROR(INDEX(Artistes!$M$2:$M$301,MATCH(C286,Artistes!$A$2:$A$301,0)),""))</f>
        <v/>
      </c>
      <c r="Q286" s="16"/>
    </row>
    <row r="287" spans="1:17" hidden="1" x14ac:dyDescent="0.25">
      <c r="A287" s="16"/>
      <c r="B287" s="16"/>
      <c r="C287" s="16"/>
      <c r="D287" s="18" t="str">
        <f>IF(C287="","",IFERROR(INDEX(Artistes!$B$2:$B$301,MATCH(C287,Artistes!$A$2:$A$301,0)),"ID inconnu"))</f>
        <v/>
      </c>
      <c r="E287" s="16"/>
      <c r="F287" s="16"/>
      <c r="G287" s="16"/>
      <c r="H287" s="16"/>
      <c r="I287" s="16"/>
      <c r="J287" s="16"/>
      <c r="K287" s="16"/>
      <c r="L287" s="16"/>
      <c r="M287" s="16"/>
      <c r="N287" s="18" t="str">
        <f t="shared" si="4"/>
        <v/>
      </c>
      <c r="O287" s="16"/>
      <c r="P287" s="18" t="str">
        <f>IF(C287="","",IFERROR(INDEX(Artistes!$M$2:$M$301,MATCH(C287,Artistes!$A$2:$A$301,0)),""))</f>
        <v/>
      </c>
      <c r="Q287" s="16"/>
    </row>
    <row r="288" spans="1:17" hidden="1" x14ac:dyDescent="0.25">
      <c r="A288" s="16"/>
      <c r="B288" s="16"/>
      <c r="C288" s="16"/>
      <c r="D288" s="18" t="str">
        <f>IF(C288="","",IFERROR(INDEX(Artistes!$B$2:$B$301,MATCH(C288,Artistes!$A$2:$A$301,0)),"ID inconnu"))</f>
        <v/>
      </c>
      <c r="E288" s="16"/>
      <c r="F288" s="16"/>
      <c r="G288" s="16"/>
      <c r="H288" s="16"/>
      <c r="I288" s="16"/>
      <c r="J288" s="16"/>
      <c r="K288" s="16"/>
      <c r="L288" s="16"/>
      <c r="M288" s="16"/>
      <c r="N288" s="18" t="str">
        <f t="shared" si="4"/>
        <v/>
      </c>
      <c r="O288" s="16"/>
      <c r="P288" s="18" t="str">
        <f>IF(C288="","",IFERROR(INDEX(Artistes!$M$2:$M$301,MATCH(C288,Artistes!$A$2:$A$301,0)),""))</f>
        <v/>
      </c>
      <c r="Q288" s="16"/>
    </row>
    <row r="289" spans="1:17" hidden="1" x14ac:dyDescent="0.25">
      <c r="A289" s="16"/>
      <c r="B289" s="16"/>
      <c r="C289" s="16"/>
      <c r="D289" s="18" t="str">
        <f>IF(C289="","",IFERROR(INDEX(Artistes!$B$2:$B$301,MATCH(C289,Artistes!$A$2:$A$301,0)),"ID inconnu"))</f>
        <v/>
      </c>
      <c r="E289" s="16"/>
      <c r="F289" s="16"/>
      <c r="G289" s="16"/>
      <c r="H289" s="16"/>
      <c r="I289" s="16"/>
      <c r="J289" s="16"/>
      <c r="K289" s="16"/>
      <c r="L289" s="16"/>
      <c r="M289" s="16"/>
      <c r="N289" s="18" t="str">
        <f t="shared" si="4"/>
        <v/>
      </c>
      <c r="O289" s="16"/>
      <c r="P289" s="18" t="str">
        <f>IF(C289="","",IFERROR(INDEX(Artistes!$M$2:$M$301,MATCH(C289,Artistes!$A$2:$A$301,0)),""))</f>
        <v/>
      </c>
      <c r="Q289" s="16"/>
    </row>
    <row r="290" spans="1:17" hidden="1" x14ac:dyDescent="0.25">
      <c r="A290" s="16"/>
      <c r="B290" s="16"/>
      <c r="C290" s="16"/>
      <c r="D290" s="18" t="str">
        <f>IF(C290="","",IFERROR(INDEX(Artistes!$B$2:$B$301,MATCH(C290,Artistes!$A$2:$A$301,0)),"ID inconnu"))</f>
        <v/>
      </c>
      <c r="E290" s="16"/>
      <c r="F290" s="16"/>
      <c r="G290" s="16"/>
      <c r="H290" s="16"/>
      <c r="I290" s="16"/>
      <c r="J290" s="16"/>
      <c r="K290" s="16"/>
      <c r="L290" s="16"/>
      <c r="M290" s="16"/>
      <c r="N290" s="18" t="str">
        <f t="shared" si="4"/>
        <v/>
      </c>
      <c r="O290" s="16"/>
      <c r="P290" s="18" t="str">
        <f>IF(C290="","",IFERROR(INDEX(Artistes!$M$2:$M$301,MATCH(C290,Artistes!$A$2:$A$301,0)),""))</f>
        <v/>
      </c>
      <c r="Q290" s="16"/>
    </row>
    <row r="291" spans="1:17" hidden="1" x14ac:dyDescent="0.25">
      <c r="A291" s="16"/>
      <c r="B291" s="16"/>
      <c r="C291" s="16"/>
      <c r="D291" s="18" t="str">
        <f>IF(C291="","",IFERROR(INDEX(Artistes!$B$2:$B$301,MATCH(C291,Artistes!$A$2:$A$301,0)),"ID inconnu"))</f>
        <v/>
      </c>
      <c r="E291" s="16"/>
      <c r="F291" s="16"/>
      <c r="G291" s="16"/>
      <c r="H291" s="16"/>
      <c r="I291" s="16"/>
      <c r="J291" s="16"/>
      <c r="K291" s="16"/>
      <c r="L291" s="16"/>
      <c r="M291" s="16"/>
      <c r="N291" s="18" t="str">
        <f t="shared" si="4"/>
        <v/>
      </c>
      <c r="O291" s="16"/>
      <c r="P291" s="18" t="str">
        <f>IF(C291="","",IFERROR(INDEX(Artistes!$M$2:$M$301,MATCH(C291,Artistes!$A$2:$A$301,0)),""))</f>
        <v/>
      </c>
      <c r="Q291" s="16"/>
    </row>
    <row r="292" spans="1:17" hidden="1" x14ac:dyDescent="0.25">
      <c r="A292" s="16"/>
      <c r="B292" s="16"/>
      <c r="C292" s="16"/>
      <c r="D292" s="18" t="str">
        <f>IF(C292="","",IFERROR(INDEX(Artistes!$B$2:$B$301,MATCH(C292,Artistes!$A$2:$A$301,0)),"ID inconnu"))</f>
        <v/>
      </c>
      <c r="E292" s="16"/>
      <c r="F292" s="16"/>
      <c r="G292" s="16"/>
      <c r="H292" s="16"/>
      <c r="I292" s="16"/>
      <c r="J292" s="16"/>
      <c r="K292" s="16"/>
      <c r="L292" s="16"/>
      <c r="M292" s="16"/>
      <c r="N292" s="18" t="str">
        <f t="shared" si="4"/>
        <v/>
      </c>
      <c r="O292" s="16"/>
      <c r="P292" s="18" t="str">
        <f>IF(C292="","",IFERROR(INDEX(Artistes!$M$2:$M$301,MATCH(C292,Artistes!$A$2:$A$301,0)),""))</f>
        <v/>
      </c>
      <c r="Q292" s="16"/>
    </row>
    <row r="293" spans="1:17" hidden="1" x14ac:dyDescent="0.25">
      <c r="A293" s="16"/>
      <c r="B293" s="16"/>
      <c r="C293" s="16"/>
      <c r="D293" s="18" t="str">
        <f>IF(C293="","",IFERROR(INDEX(Artistes!$B$2:$B$301,MATCH(C293,Artistes!$A$2:$A$301,0)),"ID inconnu"))</f>
        <v/>
      </c>
      <c r="E293" s="16"/>
      <c r="F293" s="16"/>
      <c r="G293" s="16"/>
      <c r="H293" s="16"/>
      <c r="I293" s="16"/>
      <c r="J293" s="16"/>
      <c r="K293" s="16"/>
      <c r="L293" s="16"/>
      <c r="M293" s="16"/>
      <c r="N293" s="18" t="str">
        <f t="shared" si="4"/>
        <v/>
      </c>
      <c r="O293" s="16"/>
      <c r="P293" s="18" t="str">
        <f>IF(C293="","",IFERROR(INDEX(Artistes!$M$2:$M$301,MATCH(C293,Artistes!$A$2:$A$301,0)),""))</f>
        <v/>
      </c>
      <c r="Q293" s="16"/>
    </row>
    <row r="294" spans="1:17" hidden="1" x14ac:dyDescent="0.25">
      <c r="A294" s="16"/>
      <c r="B294" s="16"/>
      <c r="C294" s="16"/>
      <c r="D294" s="18" t="str">
        <f>IF(C294="","",IFERROR(INDEX(Artistes!$B$2:$B$301,MATCH(C294,Artistes!$A$2:$A$301,0)),"ID inconnu"))</f>
        <v/>
      </c>
      <c r="E294" s="16"/>
      <c r="F294" s="16"/>
      <c r="G294" s="16"/>
      <c r="H294" s="16"/>
      <c r="I294" s="16"/>
      <c r="J294" s="16"/>
      <c r="K294" s="16"/>
      <c r="L294" s="16"/>
      <c r="M294" s="16"/>
      <c r="N294" s="18" t="str">
        <f t="shared" si="4"/>
        <v/>
      </c>
      <c r="O294" s="16"/>
      <c r="P294" s="18" t="str">
        <f>IF(C294="","",IFERROR(INDEX(Artistes!$M$2:$M$301,MATCH(C294,Artistes!$A$2:$A$301,0)),""))</f>
        <v/>
      </c>
      <c r="Q294" s="16"/>
    </row>
    <row r="295" spans="1:17" hidden="1" x14ac:dyDescent="0.25">
      <c r="A295" s="16"/>
      <c r="B295" s="16"/>
      <c r="C295" s="16"/>
      <c r="D295" s="18" t="str">
        <f>IF(C295="","",IFERROR(INDEX(Artistes!$B$2:$B$301,MATCH(C295,Artistes!$A$2:$A$301,0)),"ID inconnu"))</f>
        <v/>
      </c>
      <c r="E295" s="16"/>
      <c r="F295" s="16"/>
      <c r="G295" s="16"/>
      <c r="H295" s="16"/>
      <c r="I295" s="16"/>
      <c r="J295" s="16"/>
      <c r="K295" s="16"/>
      <c r="L295" s="16"/>
      <c r="M295" s="16"/>
      <c r="N295" s="18" t="str">
        <f t="shared" si="4"/>
        <v/>
      </c>
      <c r="O295" s="16"/>
      <c r="P295" s="18" t="str">
        <f>IF(C295="","",IFERROR(INDEX(Artistes!$M$2:$M$301,MATCH(C295,Artistes!$A$2:$A$301,0)),""))</f>
        <v/>
      </c>
      <c r="Q295" s="16"/>
    </row>
    <row r="296" spans="1:17" hidden="1" x14ac:dyDescent="0.25">
      <c r="A296" s="16"/>
      <c r="B296" s="16"/>
      <c r="C296" s="16"/>
      <c r="D296" s="18" t="str">
        <f>IF(C296="","",IFERROR(INDEX(Artistes!$B$2:$B$301,MATCH(C296,Artistes!$A$2:$A$301,0)),"ID inconnu"))</f>
        <v/>
      </c>
      <c r="E296" s="16"/>
      <c r="F296" s="16"/>
      <c r="G296" s="16"/>
      <c r="H296" s="16"/>
      <c r="I296" s="16"/>
      <c r="J296" s="16"/>
      <c r="K296" s="16"/>
      <c r="L296" s="16"/>
      <c r="M296" s="16"/>
      <c r="N296" s="18" t="str">
        <f t="shared" si="4"/>
        <v/>
      </c>
      <c r="O296" s="16"/>
      <c r="P296" s="18" t="str">
        <f>IF(C296="","",IFERROR(INDEX(Artistes!$M$2:$M$301,MATCH(C296,Artistes!$A$2:$A$301,0)),""))</f>
        <v/>
      </c>
      <c r="Q296" s="16"/>
    </row>
    <row r="297" spans="1:17" hidden="1" x14ac:dyDescent="0.25">
      <c r="A297" s="16"/>
      <c r="B297" s="16"/>
      <c r="C297" s="16"/>
      <c r="D297" s="18" t="str">
        <f>IF(C297="","",IFERROR(INDEX(Artistes!$B$2:$B$301,MATCH(C297,Artistes!$A$2:$A$301,0)),"ID inconnu"))</f>
        <v/>
      </c>
      <c r="E297" s="16"/>
      <c r="F297" s="16"/>
      <c r="G297" s="16"/>
      <c r="H297" s="16"/>
      <c r="I297" s="16"/>
      <c r="J297" s="16"/>
      <c r="K297" s="16"/>
      <c r="L297" s="16"/>
      <c r="M297" s="16"/>
      <c r="N297" s="18" t="str">
        <f t="shared" si="4"/>
        <v/>
      </c>
      <c r="O297" s="16"/>
      <c r="P297" s="18" t="str">
        <f>IF(C297="","",IFERROR(INDEX(Artistes!$M$2:$M$301,MATCH(C297,Artistes!$A$2:$A$301,0)),""))</f>
        <v/>
      </c>
      <c r="Q297" s="16"/>
    </row>
    <row r="298" spans="1:17" hidden="1" x14ac:dyDescent="0.25">
      <c r="A298" s="16"/>
      <c r="B298" s="16"/>
      <c r="C298" s="16"/>
      <c r="D298" s="18" t="str">
        <f>IF(C298="","",IFERROR(INDEX(Artistes!$B$2:$B$301,MATCH(C298,Artistes!$A$2:$A$301,0)),"ID inconnu"))</f>
        <v/>
      </c>
      <c r="E298" s="16"/>
      <c r="F298" s="16"/>
      <c r="G298" s="16"/>
      <c r="H298" s="16"/>
      <c r="I298" s="16"/>
      <c r="J298" s="16"/>
      <c r="K298" s="16"/>
      <c r="L298" s="16"/>
      <c r="M298" s="16"/>
      <c r="N298" s="18" t="str">
        <f t="shared" si="4"/>
        <v/>
      </c>
      <c r="O298" s="16"/>
      <c r="P298" s="18" t="str">
        <f>IF(C298="","",IFERROR(INDEX(Artistes!$M$2:$M$301,MATCH(C298,Artistes!$A$2:$A$301,0)),""))</f>
        <v/>
      </c>
      <c r="Q298" s="16"/>
    </row>
    <row r="299" spans="1:17" hidden="1" x14ac:dyDescent="0.25">
      <c r="A299" s="16"/>
      <c r="B299" s="16"/>
      <c r="C299" s="16"/>
      <c r="D299" s="18" t="str">
        <f>IF(C299="","",IFERROR(INDEX(Artistes!$B$2:$B$301,MATCH(C299,Artistes!$A$2:$A$301,0)),"ID inconnu"))</f>
        <v/>
      </c>
      <c r="E299" s="16"/>
      <c r="F299" s="16"/>
      <c r="G299" s="16"/>
      <c r="H299" s="16"/>
      <c r="I299" s="16"/>
      <c r="J299" s="16"/>
      <c r="K299" s="16"/>
      <c r="L299" s="16"/>
      <c r="M299" s="16"/>
      <c r="N299" s="18" t="str">
        <f t="shared" si="4"/>
        <v/>
      </c>
      <c r="O299" s="16"/>
      <c r="P299" s="18" t="str">
        <f>IF(C299="","",IFERROR(INDEX(Artistes!$M$2:$M$301,MATCH(C299,Artistes!$A$2:$A$301,0)),""))</f>
        <v/>
      </c>
      <c r="Q299" s="16"/>
    </row>
    <row r="300" spans="1:17" hidden="1" x14ac:dyDescent="0.25">
      <c r="A300" s="16"/>
      <c r="B300" s="16"/>
      <c r="C300" s="16"/>
      <c r="D300" s="18" t="str">
        <f>IF(C300="","",IFERROR(INDEX(Artistes!$B$2:$B$301,MATCH(C300,Artistes!$A$2:$A$301,0)),"ID inconnu"))</f>
        <v/>
      </c>
      <c r="E300" s="16"/>
      <c r="F300" s="16"/>
      <c r="G300" s="16"/>
      <c r="H300" s="16"/>
      <c r="I300" s="16"/>
      <c r="J300" s="16"/>
      <c r="K300" s="16"/>
      <c r="L300" s="16"/>
      <c r="M300" s="16"/>
      <c r="N300" s="18" t="str">
        <f t="shared" si="4"/>
        <v/>
      </c>
      <c r="O300" s="16"/>
      <c r="P300" s="18" t="str">
        <f>IF(C300="","",IFERROR(INDEX(Artistes!$M$2:$M$301,MATCH(C300,Artistes!$A$2:$A$301,0)),""))</f>
        <v/>
      </c>
      <c r="Q300" s="16"/>
    </row>
    <row r="301" spans="1:17" hidden="1" x14ac:dyDescent="0.25">
      <c r="A301" s="16"/>
      <c r="B301" s="16"/>
      <c r="C301" s="16"/>
      <c r="D301" s="18" t="str">
        <f>IF(C301="","",IFERROR(INDEX(Artistes!$B$2:$B$301,MATCH(C301,Artistes!$A$2:$A$301,0)),"ID inconnu"))</f>
        <v/>
      </c>
      <c r="E301" s="16"/>
      <c r="F301" s="16"/>
      <c r="G301" s="16"/>
      <c r="H301" s="16"/>
      <c r="I301" s="16"/>
      <c r="J301" s="16"/>
      <c r="K301" s="16"/>
      <c r="L301" s="16"/>
      <c r="M301" s="16"/>
      <c r="N301" s="18" t="str">
        <f t="shared" si="4"/>
        <v/>
      </c>
      <c r="O301" s="16"/>
      <c r="P301" s="18" t="str">
        <f>IF(C301="","",IFERROR(INDEX(Artistes!$M$2:$M$301,MATCH(C301,Artistes!$A$2:$A$301,0)),""))</f>
        <v/>
      </c>
      <c r="Q301" s="16"/>
    </row>
  </sheetData>
  <autoFilter ref="A1:Q301" xr:uid="{00000000-0009-0000-0000-000003000000}">
    <filterColumn colId="15">
      <filters>
        <filter val="Oui (à vérifier)"/>
      </filters>
    </filterColumn>
  </autoFilter>
  <dataValidations count="1">
    <dataValidation type="list" allowBlank="1" showErrorMessage="1" errorTitle="Valeur inconnue" error="Choisis une valeur de la liste." sqref="O2:O301" xr:uid="{00000000-0002-0000-0300-000002000000}">
      <formula1>"à rédiger,en cours,rédigée"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errorTitle="Valeur inconnue" error="Choisis une valeur de la liste." xr:uid="{00000000-0002-0000-0300-000000000000}">
          <x14:formula1>
            <xm:f>Artistes!$A$2:$A$301</xm:f>
          </x14:formula1>
          <x14:formula2>
            <xm:f>0</xm:f>
          </x14:formula2>
          <xm:sqref>C2:C301</xm:sqref>
        </x14:dataValidation>
        <x14:dataValidation type="list" allowBlank="1" showErrorMessage="1" errorTitle="Valeur inconnue" error="Choisis une valeur de la liste." xr:uid="{00000000-0002-0000-0300-000001000000}">
          <x14:formula1>
            <xm:f>Mouvements!$A$2:$A$301</xm:f>
          </x14:formula1>
          <x14:formula2>
            <xm:f>0</xm:f>
          </x14:formula2>
          <xm:sqref>F2:F301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01"/>
  <sheetViews>
    <sheetView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ColWidth="8.7109375" defaultRowHeight="15" x14ac:dyDescent="0.25"/>
  <cols>
    <col min="1" max="1" width="28" customWidth="1"/>
    <col min="2" max="2" width="7" customWidth="1"/>
    <col min="3" max="3" width="15" customWidth="1"/>
    <col min="4" max="4" width="44" customWidth="1"/>
    <col min="5" max="5" width="14" customWidth="1"/>
    <col min="6" max="6" width="20" customWidth="1"/>
    <col min="7" max="7" width="56" customWidth="1"/>
    <col min="8" max="8" width="40" customWidth="1"/>
  </cols>
  <sheetData>
    <row r="1" spans="1:8" ht="33.75" customHeight="1" x14ac:dyDescent="0.25">
      <c r="A1" s="13" t="s">
        <v>30</v>
      </c>
      <c r="B1" s="13" t="s">
        <v>232</v>
      </c>
      <c r="C1" s="13" t="s">
        <v>572</v>
      </c>
      <c r="D1" s="13" t="s">
        <v>229</v>
      </c>
      <c r="E1" s="13" t="s">
        <v>34</v>
      </c>
      <c r="F1" s="13" t="s">
        <v>233</v>
      </c>
      <c r="G1" s="14" t="s">
        <v>573</v>
      </c>
      <c r="H1" s="13" t="s">
        <v>40</v>
      </c>
    </row>
    <row r="2" spans="1:8" ht="25.5" x14ac:dyDescent="0.25">
      <c r="A2" s="16" t="s">
        <v>574</v>
      </c>
      <c r="B2" s="16">
        <v>1863</v>
      </c>
      <c r="C2" s="16" t="s">
        <v>575</v>
      </c>
      <c r="D2" s="16" t="s">
        <v>576</v>
      </c>
      <c r="E2" s="16" t="s">
        <v>244</v>
      </c>
      <c r="F2" s="16" t="s">
        <v>41</v>
      </c>
      <c r="G2" s="16"/>
      <c r="H2" s="19" t="s">
        <v>577</v>
      </c>
    </row>
    <row r="3" spans="1:8" x14ac:dyDescent="0.25">
      <c r="A3" s="16" t="s">
        <v>578</v>
      </c>
      <c r="B3" s="16">
        <v>1874</v>
      </c>
      <c r="C3" s="16" t="s">
        <v>579</v>
      </c>
      <c r="D3" s="16" t="s">
        <v>580</v>
      </c>
      <c r="E3" s="16" t="s">
        <v>244</v>
      </c>
      <c r="F3" s="16" t="s">
        <v>41</v>
      </c>
      <c r="G3" s="16"/>
      <c r="H3" s="16"/>
    </row>
    <row r="4" spans="1:8" ht="25.5" x14ac:dyDescent="0.25">
      <c r="A4" s="16" t="s">
        <v>581</v>
      </c>
      <c r="B4" s="16">
        <v>1886</v>
      </c>
      <c r="C4" s="16" t="s">
        <v>582</v>
      </c>
      <c r="D4" s="16" t="s">
        <v>583</v>
      </c>
      <c r="E4" s="16" t="s">
        <v>311</v>
      </c>
      <c r="F4" s="16" t="s">
        <v>41</v>
      </c>
      <c r="G4" s="16"/>
      <c r="H4" s="16"/>
    </row>
    <row r="5" spans="1:8" x14ac:dyDescent="0.25">
      <c r="A5" s="16" t="s">
        <v>584</v>
      </c>
      <c r="B5" s="16">
        <v>1886</v>
      </c>
      <c r="C5" s="16" t="s">
        <v>585</v>
      </c>
      <c r="D5" s="16" t="s">
        <v>586</v>
      </c>
      <c r="E5" s="16" t="s">
        <v>244</v>
      </c>
      <c r="F5" s="16" t="s">
        <v>41</v>
      </c>
      <c r="G5" s="16"/>
      <c r="H5" s="16"/>
    </row>
    <row r="6" spans="1:8" x14ac:dyDescent="0.25">
      <c r="A6" s="16" t="s">
        <v>587</v>
      </c>
      <c r="B6" s="16">
        <v>1905</v>
      </c>
      <c r="C6" s="16" t="s">
        <v>588</v>
      </c>
      <c r="D6" s="16" t="s">
        <v>589</v>
      </c>
      <c r="E6" s="16" t="s">
        <v>244</v>
      </c>
      <c r="F6" s="16" t="s">
        <v>54</v>
      </c>
      <c r="G6" s="16"/>
      <c r="H6" s="16"/>
    </row>
    <row r="7" spans="1:8" x14ac:dyDescent="0.25">
      <c r="A7" s="16" t="s">
        <v>590</v>
      </c>
      <c r="B7" s="16">
        <v>1905</v>
      </c>
      <c r="C7" s="16" t="s">
        <v>591</v>
      </c>
      <c r="D7" s="16" t="s">
        <v>592</v>
      </c>
      <c r="E7" s="16" t="s">
        <v>593</v>
      </c>
      <c r="F7" s="16" t="s">
        <v>62</v>
      </c>
      <c r="G7" s="16"/>
      <c r="H7" s="16"/>
    </row>
    <row r="8" spans="1:8" x14ac:dyDescent="0.25">
      <c r="A8" s="16" t="s">
        <v>594</v>
      </c>
      <c r="B8" s="16">
        <v>1907</v>
      </c>
      <c r="C8" s="16" t="s">
        <v>595</v>
      </c>
      <c r="D8" s="16" t="s">
        <v>596</v>
      </c>
      <c r="E8" s="16" t="s">
        <v>244</v>
      </c>
      <c r="F8" s="16" t="s">
        <v>58</v>
      </c>
      <c r="G8" s="16"/>
      <c r="H8" s="16"/>
    </row>
    <row r="9" spans="1:8" x14ac:dyDescent="0.25">
      <c r="A9" s="16" t="s">
        <v>597</v>
      </c>
      <c r="B9" s="16">
        <v>1911</v>
      </c>
      <c r="C9" s="16" t="s">
        <v>598</v>
      </c>
      <c r="D9" s="16" t="s">
        <v>599</v>
      </c>
      <c r="E9" s="16" t="s">
        <v>433</v>
      </c>
      <c r="F9" s="16" t="s">
        <v>62</v>
      </c>
      <c r="G9" s="16"/>
      <c r="H9" s="16"/>
    </row>
    <row r="10" spans="1:8" x14ac:dyDescent="0.25">
      <c r="A10" s="16" t="s">
        <v>600</v>
      </c>
      <c r="B10" s="16">
        <v>1913</v>
      </c>
      <c r="C10" s="16" t="s">
        <v>601</v>
      </c>
      <c r="D10" s="16" t="s">
        <v>602</v>
      </c>
      <c r="E10" s="16" t="s">
        <v>311</v>
      </c>
      <c r="F10" s="16" t="s">
        <v>58</v>
      </c>
      <c r="G10" s="16"/>
      <c r="H10" s="16"/>
    </row>
    <row r="11" spans="1:8" ht="25.5" x14ac:dyDescent="0.25">
      <c r="A11" s="16" t="s">
        <v>603</v>
      </c>
      <c r="B11" s="16">
        <v>1915</v>
      </c>
      <c r="C11" s="16" t="s">
        <v>604</v>
      </c>
      <c r="D11" s="16" t="s">
        <v>605</v>
      </c>
      <c r="E11" s="16" t="s">
        <v>606</v>
      </c>
      <c r="F11" s="16" t="s">
        <v>67</v>
      </c>
      <c r="G11" s="16"/>
      <c r="H11" s="16"/>
    </row>
    <row r="12" spans="1:8" x14ac:dyDescent="0.25">
      <c r="A12" s="16" t="s">
        <v>607</v>
      </c>
      <c r="B12" s="16">
        <v>1916</v>
      </c>
      <c r="C12" s="16" t="s">
        <v>608</v>
      </c>
      <c r="D12" s="16" t="s">
        <v>609</v>
      </c>
      <c r="E12" s="16" t="s">
        <v>473</v>
      </c>
      <c r="F12" s="16" t="s">
        <v>73</v>
      </c>
      <c r="G12" s="16"/>
      <c r="H12" s="16"/>
    </row>
    <row r="13" spans="1:8" x14ac:dyDescent="0.25">
      <c r="A13" s="16" t="s">
        <v>610</v>
      </c>
      <c r="B13" s="16">
        <v>1924</v>
      </c>
      <c r="C13" s="16" t="s">
        <v>611</v>
      </c>
      <c r="D13" s="16" t="s">
        <v>612</v>
      </c>
      <c r="E13" s="16" t="s">
        <v>244</v>
      </c>
      <c r="F13" s="16" t="s">
        <v>78</v>
      </c>
      <c r="G13" s="16"/>
      <c r="H13" s="16"/>
    </row>
    <row r="14" spans="1:8" x14ac:dyDescent="0.25">
      <c r="A14" s="16" t="s">
        <v>613</v>
      </c>
      <c r="B14" s="16">
        <v>1937</v>
      </c>
      <c r="C14" s="16" t="s">
        <v>614</v>
      </c>
      <c r="D14" s="16" t="s">
        <v>615</v>
      </c>
      <c r="E14" s="16" t="s">
        <v>433</v>
      </c>
      <c r="F14" s="16" t="s">
        <v>62</v>
      </c>
      <c r="G14" s="16"/>
      <c r="H14" s="16"/>
    </row>
    <row r="15" spans="1:8" ht="25.5" x14ac:dyDescent="0.25">
      <c r="A15" s="16" t="s">
        <v>616</v>
      </c>
      <c r="B15" s="16">
        <v>1942</v>
      </c>
      <c r="C15" s="16" t="s">
        <v>617</v>
      </c>
      <c r="D15" s="16" t="s">
        <v>618</v>
      </c>
      <c r="E15" s="16" t="s">
        <v>311</v>
      </c>
      <c r="F15" s="16" t="s">
        <v>83</v>
      </c>
      <c r="G15" s="16"/>
      <c r="H15" s="16"/>
    </row>
    <row r="16" spans="1:8" x14ac:dyDescent="0.25">
      <c r="A16" s="16"/>
      <c r="B16" s="16"/>
      <c r="C16" s="16"/>
      <c r="D16" s="16"/>
      <c r="E16" s="16"/>
      <c r="F16" s="16"/>
      <c r="G16" s="16"/>
      <c r="H16" s="16"/>
    </row>
    <row r="17" spans="1:8" x14ac:dyDescent="0.25">
      <c r="A17" s="16"/>
      <c r="B17" s="16"/>
      <c r="C17" s="16"/>
      <c r="D17" s="16"/>
      <c r="E17" s="16"/>
      <c r="F17" s="16"/>
      <c r="G17" s="16"/>
      <c r="H17" s="16"/>
    </row>
    <row r="18" spans="1:8" x14ac:dyDescent="0.25">
      <c r="A18" s="16"/>
      <c r="B18" s="16"/>
      <c r="C18" s="16"/>
      <c r="D18" s="16"/>
      <c r="E18" s="16"/>
      <c r="F18" s="16"/>
      <c r="G18" s="16"/>
      <c r="H18" s="16"/>
    </row>
    <row r="19" spans="1:8" x14ac:dyDescent="0.25">
      <c r="A19" s="16"/>
      <c r="B19" s="16"/>
      <c r="C19" s="16"/>
      <c r="D19" s="16"/>
      <c r="E19" s="16"/>
      <c r="F19" s="16"/>
      <c r="G19" s="16"/>
      <c r="H19" s="16"/>
    </row>
    <row r="20" spans="1:8" x14ac:dyDescent="0.25">
      <c r="A20" s="16"/>
      <c r="B20" s="16"/>
      <c r="C20" s="16"/>
      <c r="D20" s="16"/>
      <c r="E20" s="16"/>
      <c r="F20" s="16"/>
      <c r="G20" s="16"/>
      <c r="H20" s="16"/>
    </row>
    <row r="21" spans="1:8" x14ac:dyDescent="0.25">
      <c r="A21" s="16"/>
      <c r="B21" s="16"/>
      <c r="C21" s="16"/>
      <c r="D21" s="16"/>
      <c r="E21" s="16"/>
      <c r="F21" s="16"/>
      <c r="G21" s="16"/>
      <c r="H21" s="16"/>
    </row>
    <row r="22" spans="1:8" x14ac:dyDescent="0.25">
      <c r="A22" s="16"/>
      <c r="B22" s="16"/>
      <c r="C22" s="16"/>
      <c r="D22" s="16"/>
      <c r="E22" s="16"/>
      <c r="F22" s="16"/>
      <c r="G22" s="16"/>
      <c r="H22" s="16"/>
    </row>
    <row r="23" spans="1:8" x14ac:dyDescent="0.25">
      <c r="A23" s="16"/>
      <c r="B23" s="16"/>
      <c r="C23" s="16"/>
      <c r="D23" s="16"/>
      <c r="E23" s="16"/>
      <c r="F23" s="16"/>
      <c r="G23" s="16"/>
      <c r="H23" s="16"/>
    </row>
    <row r="24" spans="1:8" x14ac:dyDescent="0.25">
      <c r="A24" s="16"/>
      <c r="B24" s="16"/>
      <c r="C24" s="16"/>
      <c r="D24" s="16"/>
      <c r="E24" s="16"/>
      <c r="F24" s="16"/>
      <c r="G24" s="16"/>
      <c r="H24" s="16"/>
    </row>
    <row r="25" spans="1:8" x14ac:dyDescent="0.25">
      <c r="A25" s="16"/>
      <c r="B25" s="16"/>
      <c r="C25" s="16"/>
      <c r="D25" s="16"/>
      <c r="E25" s="16"/>
      <c r="F25" s="16"/>
      <c r="G25" s="16"/>
      <c r="H25" s="16"/>
    </row>
    <row r="26" spans="1:8" x14ac:dyDescent="0.25">
      <c r="A26" s="16"/>
      <c r="B26" s="16"/>
      <c r="C26" s="16"/>
      <c r="D26" s="16"/>
      <c r="E26" s="16"/>
      <c r="F26" s="16"/>
      <c r="G26" s="16"/>
      <c r="H26" s="16"/>
    </row>
    <row r="27" spans="1:8" x14ac:dyDescent="0.25">
      <c r="A27" s="16"/>
      <c r="B27" s="16"/>
      <c r="C27" s="16"/>
      <c r="D27" s="16"/>
      <c r="E27" s="16"/>
      <c r="F27" s="16"/>
      <c r="G27" s="16"/>
      <c r="H27" s="16"/>
    </row>
    <row r="28" spans="1:8" x14ac:dyDescent="0.25">
      <c r="A28" s="16"/>
      <c r="B28" s="16"/>
      <c r="C28" s="16"/>
      <c r="D28" s="16"/>
      <c r="E28" s="16"/>
      <c r="F28" s="16"/>
      <c r="G28" s="16"/>
      <c r="H28" s="16"/>
    </row>
    <row r="29" spans="1:8" x14ac:dyDescent="0.25">
      <c r="A29" s="16"/>
      <c r="B29" s="16"/>
      <c r="C29" s="16"/>
      <c r="D29" s="16"/>
      <c r="E29" s="16"/>
      <c r="F29" s="16"/>
      <c r="G29" s="16"/>
      <c r="H29" s="16"/>
    </row>
    <row r="30" spans="1:8" x14ac:dyDescent="0.25">
      <c r="A30" s="16"/>
      <c r="B30" s="16"/>
      <c r="C30" s="16"/>
      <c r="D30" s="16"/>
      <c r="E30" s="16"/>
      <c r="F30" s="16"/>
      <c r="G30" s="16"/>
      <c r="H30" s="16"/>
    </row>
    <row r="31" spans="1:8" x14ac:dyDescent="0.25">
      <c r="A31" s="16"/>
      <c r="B31" s="16"/>
      <c r="C31" s="16"/>
      <c r="D31" s="16"/>
      <c r="E31" s="16"/>
      <c r="F31" s="16"/>
      <c r="G31" s="16"/>
      <c r="H31" s="16"/>
    </row>
    <row r="32" spans="1:8" x14ac:dyDescent="0.25">
      <c r="A32" s="16"/>
      <c r="B32" s="16"/>
      <c r="C32" s="16"/>
      <c r="D32" s="16"/>
      <c r="E32" s="16"/>
      <c r="F32" s="16"/>
      <c r="G32" s="16"/>
      <c r="H32" s="16"/>
    </row>
    <row r="33" spans="1:8" x14ac:dyDescent="0.25">
      <c r="A33" s="16"/>
      <c r="B33" s="16"/>
      <c r="C33" s="16"/>
      <c r="D33" s="16"/>
      <c r="E33" s="16"/>
      <c r="F33" s="16"/>
      <c r="G33" s="16"/>
      <c r="H33" s="16"/>
    </row>
    <row r="34" spans="1:8" x14ac:dyDescent="0.25">
      <c r="A34" s="16"/>
      <c r="B34" s="16"/>
      <c r="C34" s="16"/>
      <c r="D34" s="16"/>
      <c r="E34" s="16"/>
      <c r="F34" s="16"/>
      <c r="G34" s="16"/>
      <c r="H34" s="16"/>
    </row>
    <row r="35" spans="1:8" x14ac:dyDescent="0.25">
      <c r="A35" s="16"/>
      <c r="B35" s="16"/>
      <c r="C35" s="16"/>
      <c r="D35" s="16"/>
      <c r="E35" s="16"/>
      <c r="F35" s="16"/>
      <c r="G35" s="16"/>
      <c r="H35" s="16"/>
    </row>
    <row r="36" spans="1:8" x14ac:dyDescent="0.25">
      <c r="A36" s="16"/>
      <c r="B36" s="16"/>
      <c r="C36" s="16"/>
      <c r="D36" s="16"/>
      <c r="E36" s="16"/>
      <c r="F36" s="16"/>
      <c r="G36" s="16"/>
      <c r="H36" s="16"/>
    </row>
    <row r="37" spans="1:8" x14ac:dyDescent="0.25">
      <c r="A37" s="16"/>
      <c r="B37" s="16"/>
      <c r="C37" s="16"/>
      <c r="D37" s="16"/>
      <c r="E37" s="16"/>
      <c r="F37" s="16"/>
      <c r="G37" s="16"/>
      <c r="H37" s="16"/>
    </row>
    <row r="38" spans="1:8" x14ac:dyDescent="0.25">
      <c r="A38" s="16"/>
      <c r="B38" s="16"/>
      <c r="C38" s="16"/>
      <c r="D38" s="16"/>
      <c r="E38" s="16"/>
      <c r="F38" s="16"/>
      <c r="G38" s="16"/>
      <c r="H38" s="16"/>
    </row>
    <row r="39" spans="1:8" x14ac:dyDescent="0.25">
      <c r="A39" s="16"/>
      <c r="B39" s="16"/>
      <c r="C39" s="16"/>
      <c r="D39" s="16"/>
      <c r="E39" s="16"/>
      <c r="F39" s="16"/>
      <c r="G39" s="16"/>
      <c r="H39" s="16"/>
    </row>
    <row r="40" spans="1:8" x14ac:dyDescent="0.25">
      <c r="A40" s="16"/>
      <c r="B40" s="16"/>
      <c r="C40" s="16"/>
      <c r="D40" s="16"/>
      <c r="E40" s="16"/>
      <c r="F40" s="16"/>
      <c r="G40" s="16"/>
      <c r="H40" s="16"/>
    </row>
    <row r="41" spans="1:8" x14ac:dyDescent="0.25">
      <c r="A41" s="16"/>
      <c r="B41" s="16"/>
      <c r="C41" s="16"/>
      <c r="D41" s="16"/>
      <c r="E41" s="16"/>
      <c r="F41" s="16"/>
      <c r="G41" s="16"/>
      <c r="H41" s="16"/>
    </row>
    <row r="42" spans="1:8" x14ac:dyDescent="0.25">
      <c r="A42" s="16"/>
      <c r="B42" s="16"/>
      <c r="C42" s="16"/>
      <c r="D42" s="16"/>
      <c r="E42" s="16"/>
      <c r="F42" s="16"/>
      <c r="G42" s="16"/>
      <c r="H42" s="16"/>
    </row>
    <row r="43" spans="1:8" x14ac:dyDescent="0.25">
      <c r="A43" s="16"/>
      <c r="B43" s="16"/>
      <c r="C43" s="16"/>
      <c r="D43" s="16"/>
      <c r="E43" s="16"/>
      <c r="F43" s="16"/>
      <c r="G43" s="16"/>
      <c r="H43" s="16"/>
    </row>
    <row r="44" spans="1:8" x14ac:dyDescent="0.25">
      <c r="A44" s="16"/>
      <c r="B44" s="16"/>
      <c r="C44" s="16"/>
      <c r="D44" s="16"/>
      <c r="E44" s="16"/>
      <c r="F44" s="16"/>
      <c r="G44" s="16"/>
      <c r="H44" s="16"/>
    </row>
    <row r="45" spans="1:8" x14ac:dyDescent="0.25">
      <c r="A45" s="16"/>
      <c r="B45" s="16"/>
      <c r="C45" s="16"/>
      <c r="D45" s="16"/>
      <c r="E45" s="16"/>
      <c r="F45" s="16"/>
      <c r="G45" s="16"/>
      <c r="H45" s="16"/>
    </row>
    <row r="46" spans="1:8" x14ac:dyDescent="0.25">
      <c r="A46" s="16"/>
      <c r="B46" s="16"/>
      <c r="C46" s="16"/>
      <c r="D46" s="16"/>
      <c r="E46" s="16"/>
      <c r="F46" s="16"/>
      <c r="G46" s="16"/>
      <c r="H46" s="16"/>
    </row>
    <row r="47" spans="1:8" x14ac:dyDescent="0.25">
      <c r="A47" s="16"/>
      <c r="B47" s="16"/>
      <c r="C47" s="16"/>
      <c r="D47" s="16"/>
      <c r="E47" s="16"/>
      <c r="F47" s="16"/>
      <c r="G47" s="16"/>
      <c r="H47" s="16"/>
    </row>
    <row r="48" spans="1:8" x14ac:dyDescent="0.25">
      <c r="A48" s="16"/>
      <c r="B48" s="16"/>
      <c r="C48" s="16"/>
      <c r="D48" s="16"/>
      <c r="E48" s="16"/>
      <c r="F48" s="16"/>
      <c r="G48" s="16"/>
      <c r="H48" s="16"/>
    </row>
    <row r="49" spans="1:8" x14ac:dyDescent="0.25">
      <c r="A49" s="16"/>
      <c r="B49" s="16"/>
      <c r="C49" s="16"/>
      <c r="D49" s="16"/>
      <c r="E49" s="16"/>
      <c r="F49" s="16"/>
      <c r="G49" s="16"/>
      <c r="H49" s="16"/>
    </row>
    <row r="50" spans="1:8" x14ac:dyDescent="0.25">
      <c r="A50" s="16"/>
      <c r="B50" s="16"/>
      <c r="C50" s="16"/>
      <c r="D50" s="16"/>
      <c r="E50" s="16"/>
      <c r="F50" s="16"/>
      <c r="G50" s="16"/>
      <c r="H50" s="16"/>
    </row>
    <row r="51" spans="1:8" x14ac:dyDescent="0.25">
      <c r="A51" s="16"/>
      <c r="B51" s="16"/>
      <c r="C51" s="16"/>
      <c r="D51" s="16"/>
      <c r="E51" s="16"/>
      <c r="F51" s="16"/>
      <c r="G51" s="16"/>
      <c r="H51" s="16"/>
    </row>
    <row r="52" spans="1:8" x14ac:dyDescent="0.25">
      <c r="A52" s="16"/>
      <c r="B52" s="16"/>
      <c r="C52" s="16"/>
      <c r="D52" s="16"/>
      <c r="E52" s="16"/>
      <c r="F52" s="16"/>
      <c r="G52" s="16"/>
      <c r="H52" s="16"/>
    </row>
    <row r="53" spans="1:8" x14ac:dyDescent="0.25">
      <c r="A53" s="16"/>
      <c r="B53" s="16"/>
      <c r="C53" s="16"/>
      <c r="D53" s="16"/>
      <c r="E53" s="16"/>
      <c r="F53" s="16"/>
      <c r="G53" s="16"/>
      <c r="H53" s="16"/>
    </row>
    <row r="54" spans="1:8" x14ac:dyDescent="0.25">
      <c r="A54" s="16"/>
      <c r="B54" s="16"/>
      <c r="C54" s="16"/>
      <c r="D54" s="16"/>
      <c r="E54" s="16"/>
      <c r="F54" s="16"/>
      <c r="G54" s="16"/>
      <c r="H54" s="16"/>
    </row>
    <row r="55" spans="1:8" x14ac:dyDescent="0.25">
      <c r="A55" s="16"/>
      <c r="B55" s="16"/>
      <c r="C55" s="16"/>
      <c r="D55" s="16"/>
      <c r="E55" s="16"/>
      <c r="F55" s="16"/>
      <c r="G55" s="16"/>
      <c r="H55" s="16"/>
    </row>
    <row r="56" spans="1:8" x14ac:dyDescent="0.25">
      <c r="A56" s="16"/>
      <c r="B56" s="16"/>
      <c r="C56" s="16"/>
      <c r="D56" s="16"/>
      <c r="E56" s="16"/>
      <c r="F56" s="16"/>
      <c r="G56" s="16"/>
      <c r="H56" s="16"/>
    </row>
    <row r="57" spans="1:8" x14ac:dyDescent="0.25">
      <c r="A57" s="16"/>
      <c r="B57" s="16"/>
      <c r="C57" s="16"/>
      <c r="D57" s="16"/>
      <c r="E57" s="16"/>
      <c r="F57" s="16"/>
      <c r="G57" s="16"/>
      <c r="H57" s="16"/>
    </row>
    <row r="58" spans="1:8" x14ac:dyDescent="0.25">
      <c r="A58" s="16"/>
      <c r="B58" s="16"/>
      <c r="C58" s="16"/>
      <c r="D58" s="16"/>
      <c r="E58" s="16"/>
      <c r="F58" s="16"/>
      <c r="G58" s="16"/>
      <c r="H58" s="16"/>
    </row>
    <row r="59" spans="1:8" x14ac:dyDescent="0.25">
      <c r="A59" s="16"/>
      <c r="B59" s="16"/>
      <c r="C59" s="16"/>
      <c r="D59" s="16"/>
      <c r="E59" s="16"/>
      <c r="F59" s="16"/>
      <c r="G59" s="16"/>
      <c r="H59" s="16"/>
    </row>
    <row r="60" spans="1:8" x14ac:dyDescent="0.25">
      <c r="A60" s="16"/>
      <c r="B60" s="16"/>
      <c r="C60" s="16"/>
      <c r="D60" s="16"/>
      <c r="E60" s="16"/>
      <c r="F60" s="16"/>
      <c r="G60" s="16"/>
      <c r="H60" s="16"/>
    </row>
    <row r="61" spans="1:8" x14ac:dyDescent="0.25">
      <c r="A61" s="16"/>
      <c r="B61" s="16"/>
      <c r="C61" s="16"/>
      <c r="D61" s="16"/>
      <c r="E61" s="16"/>
      <c r="F61" s="16"/>
      <c r="G61" s="16"/>
      <c r="H61" s="16"/>
    </row>
    <row r="62" spans="1:8" x14ac:dyDescent="0.25">
      <c r="A62" s="16"/>
      <c r="B62" s="16"/>
      <c r="C62" s="16"/>
      <c r="D62" s="16"/>
      <c r="E62" s="16"/>
      <c r="F62" s="16"/>
      <c r="G62" s="16"/>
      <c r="H62" s="16"/>
    </row>
    <row r="63" spans="1:8" x14ac:dyDescent="0.25">
      <c r="A63" s="16"/>
      <c r="B63" s="16"/>
      <c r="C63" s="16"/>
      <c r="D63" s="16"/>
      <c r="E63" s="16"/>
      <c r="F63" s="16"/>
      <c r="G63" s="16"/>
      <c r="H63" s="16"/>
    </row>
    <row r="64" spans="1:8" x14ac:dyDescent="0.25">
      <c r="A64" s="16"/>
      <c r="B64" s="16"/>
      <c r="C64" s="16"/>
      <c r="D64" s="16"/>
      <c r="E64" s="16"/>
      <c r="F64" s="16"/>
      <c r="G64" s="16"/>
      <c r="H64" s="16"/>
    </row>
    <row r="65" spans="1:8" x14ac:dyDescent="0.25">
      <c r="A65" s="16"/>
      <c r="B65" s="16"/>
      <c r="C65" s="16"/>
      <c r="D65" s="16"/>
      <c r="E65" s="16"/>
      <c r="F65" s="16"/>
      <c r="G65" s="16"/>
      <c r="H65" s="16"/>
    </row>
    <row r="66" spans="1:8" x14ac:dyDescent="0.25">
      <c r="A66" s="16"/>
      <c r="B66" s="16"/>
      <c r="C66" s="16"/>
      <c r="D66" s="16"/>
      <c r="E66" s="16"/>
      <c r="F66" s="16"/>
      <c r="G66" s="16"/>
      <c r="H66" s="16"/>
    </row>
    <row r="67" spans="1:8" x14ac:dyDescent="0.25">
      <c r="A67" s="16"/>
      <c r="B67" s="16"/>
      <c r="C67" s="16"/>
      <c r="D67" s="16"/>
      <c r="E67" s="16"/>
      <c r="F67" s="16"/>
      <c r="G67" s="16"/>
      <c r="H67" s="16"/>
    </row>
    <row r="68" spans="1:8" x14ac:dyDescent="0.25">
      <c r="A68" s="16"/>
      <c r="B68" s="16"/>
      <c r="C68" s="16"/>
      <c r="D68" s="16"/>
      <c r="E68" s="16"/>
      <c r="F68" s="16"/>
      <c r="G68" s="16"/>
      <c r="H68" s="16"/>
    </row>
    <row r="69" spans="1:8" x14ac:dyDescent="0.25">
      <c r="A69" s="16"/>
      <c r="B69" s="16"/>
      <c r="C69" s="16"/>
      <c r="D69" s="16"/>
      <c r="E69" s="16"/>
      <c r="F69" s="16"/>
      <c r="G69" s="16"/>
      <c r="H69" s="16"/>
    </row>
    <row r="70" spans="1:8" x14ac:dyDescent="0.25">
      <c r="A70" s="16"/>
      <c r="B70" s="16"/>
      <c r="C70" s="16"/>
      <c r="D70" s="16"/>
      <c r="E70" s="16"/>
      <c r="F70" s="16"/>
      <c r="G70" s="16"/>
      <c r="H70" s="16"/>
    </row>
    <row r="71" spans="1:8" x14ac:dyDescent="0.25">
      <c r="A71" s="16"/>
      <c r="B71" s="16"/>
      <c r="C71" s="16"/>
      <c r="D71" s="16"/>
      <c r="E71" s="16"/>
      <c r="F71" s="16"/>
      <c r="G71" s="16"/>
      <c r="H71" s="16"/>
    </row>
    <row r="72" spans="1:8" x14ac:dyDescent="0.25">
      <c r="A72" s="16"/>
      <c r="B72" s="16"/>
      <c r="C72" s="16"/>
      <c r="D72" s="16"/>
      <c r="E72" s="16"/>
      <c r="F72" s="16"/>
      <c r="G72" s="16"/>
      <c r="H72" s="16"/>
    </row>
    <row r="73" spans="1:8" x14ac:dyDescent="0.25">
      <c r="A73" s="16"/>
      <c r="B73" s="16"/>
      <c r="C73" s="16"/>
      <c r="D73" s="16"/>
      <c r="E73" s="16"/>
      <c r="F73" s="16"/>
      <c r="G73" s="16"/>
      <c r="H73" s="16"/>
    </row>
    <row r="74" spans="1:8" x14ac:dyDescent="0.25">
      <c r="A74" s="16"/>
      <c r="B74" s="16"/>
      <c r="C74" s="16"/>
      <c r="D74" s="16"/>
      <c r="E74" s="16"/>
      <c r="F74" s="16"/>
      <c r="G74" s="16"/>
      <c r="H74" s="16"/>
    </row>
    <row r="75" spans="1:8" x14ac:dyDescent="0.25">
      <c r="A75" s="16"/>
      <c r="B75" s="16"/>
      <c r="C75" s="16"/>
      <c r="D75" s="16"/>
      <c r="E75" s="16"/>
      <c r="F75" s="16"/>
      <c r="G75" s="16"/>
      <c r="H75" s="16"/>
    </row>
    <row r="76" spans="1:8" x14ac:dyDescent="0.25">
      <c r="A76" s="16"/>
      <c r="B76" s="16"/>
      <c r="C76" s="16"/>
      <c r="D76" s="16"/>
      <c r="E76" s="16"/>
      <c r="F76" s="16"/>
      <c r="G76" s="16"/>
      <c r="H76" s="16"/>
    </row>
    <row r="77" spans="1:8" x14ac:dyDescent="0.25">
      <c r="A77" s="16"/>
      <c r="B77" s="16"/>
      <c r="C77" s="16"/>
      <c r="D77" s="16"/>
      <c r="E77" s="16"/>
      <c r="F77" s="16"/>
      <c r="G77" s="16"/>
      <c r="H77" s="16"/>
    </row>
    <row r="78" spans="1:8" x14ac:dyDescent="0.25">
      <c r="A78" s="16"/>
      <c r="B78" s="16"/>
      <c r="C78" s="16"/>
      <c r="D78" s="16"/>
      <c r="E78" s="16"/>
      <c r="F78" s="16"/>
      <c r="G78" s="16"/>
      <c r="H78" s="16"/>
    </row>
    <row r="79" spans="1:8" x14ac:dyDescent="0.25">
      <c r="A79" s="16"/>
      <c r="B79" s="16"/>
      <c r="C79" s="16"/>
      <c r="D79" s="16"/>
      <c r="E79" s="16"/>
      <c r="F79" s="16"/>
      <c r="G79" s="16"/>
      <c r="H79" s="16"/>
    </row>
    <row r="80" spans="1:8" x14ac:dyDescent="0.25">
      <c r="A80" s="16"/>
      <c r="B80" s="16"/>
      <c r="C80" s="16"/>
      <c r="D80" s="16"/>
      <c r="E80" s="16"/>
      <c r="F80" s="16"/>
      <c r="G80" s="16"/>
      <c r="H80" s="16"/>
    </row>
    <row r="81" spans="1:8" x14ac:dyDescent="0.25">
      <c r="A81" s="16"/>
      <c r="B81" s="16"/>
      <c r="C81" s="16"/>
      <c r="D81" s="16"/>
      <c r="E81" s="16"/>
      <c r="F81" s="16"/>
      <c r="G81" s="16"/>
      <c r="H81" s="16"/>
    </row>
    <row r="82" spans="1:8" x14ac:dyDescent="0.25">
      <c r="A82" s="16"/>
      <c r="B82" s="16"/>
      <c r="C82" s="16"/>
      <c r="D82" s="16"/>
      <c r="E82" s="16"/>
      <c r="F82" s="16"/>
      <c r="G82" s="16"/>
      <c r="H82" s="16"/>
    </row>
    <row r="83" spans="1:8" x14ac:dyDescent="0.25">
      <c r="A83" s="16"/>
      <c r="B83" s="16"/>
      <c r="C83" s="16"/>
      <c r="D83" s="16"/>
      <c r="E83" s="16"/>
      <c r="F83" s="16"/>
      <c r="G83" s="16"/>
      <c r="H83" s="16"/>
    </row>
    <row r="84" spans="1:8" x14ac:dyDescent="0.25">
      <c r="A84" s="16"/>
      <c r="B84" s="16"/>
      <c r="C84" s="16"/>
      <c r="D84" s="16"/>
      <c r="E84" s="16"/>
      <c r="F84" s="16"/>
      <c r="G84" s="16"/>
      <c r="H84" s="16"/>
    </row>
    <row r="85" spans="1:8" x14ac:dyDescent="0.25">
      <c r="A85" s="16"/>
      <c r="B85" s="16"/>
      <c r="C85" s="16"/>
      <c r="D85" s="16"/>
      <c r="E85" s="16"/>
      <c r="F85" s="16"/>
      <c r="G85" s="16"/>
      <c r="H85" s="16"/>
    </row>
    <row r="86" spans="1:8" x14ac:dyDescent="0.25">
      <c r="A86" s="16"/>
      <c r="B86" s="16"/>
      <c r="C86" s="16"/>
      <c r="D86" s="16"/>
      <c r="E86" s="16"/>
      <c r="F86" s="16"/>
      <c r="G86" s="16"/>
      <c r="H86" s="16"/>
    </row>
    <row r="87" spans="1:8" x14ac:dyDescent="0.25">
      <c r="A87" s="16"/>
      <c r="B87" s="16"/>
      <c r="C87" s="16"/>
      <c r="D87" s="16"/>
      <c r="E87" s="16"/>
      <c r="F87" s="16"/>
      <c r="G87" s="16"/>
      <c r="H87" s="16"/>
    </row>
    <row r="88" spans="1:8" x14ac:dyDescent="0.25">
      <c r="A88" s="16"/>
      <c r="B88" s="16"/>
      <c r="C88" s="16"/>
      <c r="D88" s="16"/>
      <c r="E88" s="16"/>
      <c r="F88" s="16"/>
      <c r="G88" s="16"/>
      <c r="H88" s="16"/>
    </row>
    <row r="89" spans="1:8" x14ac:dyDescent="0.25">
      <c r="A89" s="16"/>
      <c r="B89" s="16"/>
      <c r="C89" s="16"/>
      <c r="D89" s="16"/>
      <c r="E89" s="16"/>
      <c r="F89" s="16"/>
      <c r="G89" s="16"/>
      <c r="H89" s="16"/>
    </row>
    <row r="90" spans="1:8" x14ac:dyDescent="0.25">
      <c r="A90" s="16"/>
      <c r="B90" s="16"/>
      <c r="C90" s="16"/>
      <c r="D90" s="16"/>
      <c r="E90" s="16"/>
      <c r="F90" s="16"/>
      <c r="G90" s="16"/>
      <c r="H90" s="16"/>
    </row>
    <row r="91" spans="1:8" x14ac:dyDescent="0.25">
      <c r="A91" s="16"/>
      <c r="B91" s="16"/>
      <c r="C91" s="16"/>
      <c r="D91" s="16"/>
      <c r="E91" s="16"/>
      <c r="F91" s="16"/>
      <c r="G91" s="16"/>
      <c r="H91" s="16"/>
    </row>
    <row r="92" spans="1:8" x14ac:dyDescent="0.25">
      <c r="A92" s="16"/>
      <c r="B92" s="16"/>
      <c r="C92" s="16"/>
      <c r="D92" s="16"/>
      <c r="E92" s="16"/>
      <c r="F92" s="16"/>
      <c r="G92" s="16"/>
      <c r="H92" s="16"/>
    </row>
    <row r="93" spans="1:8" x14ac:dyDescent="0.25">
      <c r="A93" s="16"/>
      <c r="B93" s="16"/>
      <c r="C93" s="16"/>
      <c r="D93" s="16"/>
      <c r="E93" s="16"/>
      <c r="F93" s="16"/>
      <c r="G93" s="16"/>
      <c r="H93" s="16"/>
    </row>
    <row r="94" spans="1:8" x14ac:dyDescent="0.25">
      <c r="A94" s="16"/>
      <c r="B94" s="16"/>
      <c r="C94" s="16"/>
      <c r="D94" s="16"/>
      <c r="E94" s="16"/>
      <c r="F94" s="16"/>
      <c r="G94" s="16"/>
      <c r="H94" s="16"/>
    </row>
    <row r="95" spans="1:8" x14ac:dyDescent="0.25">
      <c r="A95" s="16"/>
      <c r="B95" s="16"/>
      <c r="C95" s="16"/>
      <c r="D95" s="16"/>
      <c r="E95" s="16"/>
      <c r="F95" s="16"/>
      <c r="G95" s="16"/>
      <c r="H95" s="16"/>
    </row>
    <row r="96" spans="1:8" x14ac:dyDescent="0.25">
      <c r="A96" s="16"/>
      <c r="B96" s="16"/>
      <c r="C96" s="16"/>
      <c r="D96" s="16"/>
      <c r="E96" s="16"/>
      <c r="F96" s="16"/>
      <c r="G96" s="16"/>
      <c r="H96" s="16"/>
    </row>
    <row r="97" spans="1:8" x14ac:dyDescent="0.25">
      <c r="A97" s="16"/>
      <c r="B97" s="16"/>
      <c r="C97" s="16"/>
      <c r="D97" s="16"/>
      <c r="E97" s="16"/>
      <c r="F97" s="16"/>
      <c r="G97" s="16"/>
      <c r="H97" s="16"/>
    </row>
    <row r="98" spans="1:8" x14ac:dyDescent="0.25">
      <c r="A98" s="16"/>
      <c r="B98" s="16"/>
      <c r="C98" s="16"/>
      <c r="D98" s="16"/>
      <c r="E98" s="16"/>
      <c r="F98" s="16"/>
      <c r="G98" s="16"/>
      <c r="H98" s="16"/>
    </row>
    <row r="99" spans="1:8" x14ac:dyDescent="0.25">
      <c r="A99" s="16"/>
      <c r="B99" s="16"/>
      <c r="C99" s="16"/>
      <c r="D99" s="16"/>
      <c r="E99" s="16"/>
      <c r="F99" s="16"/>
      <c r="G99" s="16"/>
      <c r="H99" s="16"/>
    </row>
    <row r="100" spans="1:8" x14ac:dyDescent="0.25">
      <c r="A100" s="16"/>
      <c r="B100" s="16"/>
      <c r="C100" s="16"/>
      <c r="D100" s="16"/>
      <c r="E100" s="16"/>
      <c r="F100" s="16"/>
      <c r="G100" s="16"/>
      <c r="H100" s="16"/>
    </row>
    <row r="101" spans="1:8" x14ac:dyDescent="0.25">
      <c r="A101" s="16"/>
      <c r="B101" s="16"/>
      <c r="C101" s="16"/>
      <c r="D101" s="16"/>
      <c r="E101" s="16"/>
      <c r="F101" s="16"/>
      <c r="G101" s="16"/>
      <c r="H101" s="16"/>
    </row>
    <row r="102" spans="1:8" x14ac:dyDescent="0.25">
      <c r="A102" s="16"/>
      <c r="B102" s="16"/>
      <c r="C102" s="16"/>
      <c r="D102" s="16"/>
      <c r="E102" s="16"/>
      <c r="F102" s="16"/>
      <c r="G102" s="16"/>
      <c r="H102" s="16"/>
    </row>
    <row r="103" spans="1:8" x14ac:dyDescent="0.25">
      <c r="A103" s="16"/>
      <c r="B103" s="16"/>
      <c r="C103" s="16"/>
      <c r="D103" s="16"/>
      <c r="E103" s="16"/>
      <c r="F103" s="16"/>
      <c r="G103" s="16"/>
      <c r="H103" s="16"/>
    </row>
    <row r="104" spans="1:8" x14ac:dyDescent="0.25">
      <c r="A104" s="16"/>
      <c r="B104" s="16"/>
      <c r="C104" s="16"/>
      <c r="D104" s="16"/>
      <c r="E104" s="16"/>
      <c r="F104" s="16"/>
      <c r="G104" s="16"/>
      <c r="H104" s="16"/>
    </row>
    <row r="105" spans="1:8" x14ac:dyDescent="0.25">
      <c r="A105" s="16"/>
      <c r="B105" s="16"/>
      <c r="C105" s="16"/>
      <c r="D105" s="16"/>
      <c r="E105" s="16"/>
      <c r="F105" s="16"/>
      <c r="G105" s="16"/>
      <c r="H105" s="16"/>
    </row>
    <row r="106" spans="1:8" x14ac:dyDescent="0.25">
      <c r="A106" s="16"/>
      <c r="B106" s="16"/>
      <c r="C106" s="16"/>
      <c r="D106" s="16"/>
      <c r="E106" s="16"/>
      <c r="F106" s="16"/>
      <c r="G106" s="16"/>
      <c r="H106" s="16"/>
    </row>
    <row r="107" spans="1:8" x14ac:dyDescent="0.25">
      <c r="A107" s="16"/>
      <c r="B107" s="16"/>
      <c r="C107" s="16"/>
      <c r="D107" s="16"/>
      <c r="E107" s="16"/>
      <c r="F107" s="16"/>
      <c r="G107" s="16"/>
      <c r="H107" s="16"/>
    </row>
    <row r="108" spans="1:8" x14ac:dyDescent="0.25">
      <c r="A108" s="16"/>
      <c r="B108" s="16"/>
      <c r="C108" s="16"/>
      <c r="D108" s="16"/>
      <c r="E108" s="16"/>
      <c r="F108" s="16"/>
      <c r="G108" s="16"/>
      <c r="H108" s="16"/>
    </row>
    <row r="109" spans="1:8" x14ac:dyDescent="0.25">
      <c r="A109" s="16"/>
      <c r="B109" s="16"/>
      <c r="C109" s="16"/>
      <c r="D109" s="16"/>
      <c r="E109" s="16"/>
      <c r="F109" s="16"/>
      <c r="G109" s="16"/>
      <c r="H109" s="16"/>
    </row>
    <row r="110" spans="1:8" x14ac:dyDescent="0.25">
      <c r="A110" s="16"/>
      <c r="B110" s="16"/>
      <c r="C110" s="16"/>
      <c r="D110" s="16"/>
      <c r="E110" s="16"/>
      <c r="F110" s="16"/>
      <c r="G110" s="16"/>
      <c r="H110" s="16"/>
    </row>
    <row r="111" spans="1:8" x14ac:dyDescent="0.25">
      <c r="A111" s="16"/>
      <c r="B111" s="16"/>
      <c r="C111" s="16"/>
      <c r="D111" s="16"/>
      <c r="E111" s="16"/>
      <c r="F111" s="16"/>
      <c r="G111" s="16"/>
      <c r="H111" s="16"/>
    </row>
    <row r="112" spans="1:8" x14ac:dyDescent="0.25">
      <c r="A112" s="16"/>
      <c r="B112" s="16"/>
      <c r="C112" s="16"/>
      <c r="D112" s="16"/>
      <c r="E112" s="16"/>
      <c r="F112" s="16"/>
      <c r="G112" s="16"/>
      <c r="H112" s="16"/>
    </row>
    <row r="113" spans="1:8" x14ac:dyDescent="0.25">
      <c r="A113" s="16"/>
      <c r="B113" s="16"/>
      <c r="C113" s="16"/>
      <c r="D113" s="16"/>
      <c r="E113" s="16"/>
      <c r="F113" s="16"/>
      <c r="G113" s="16"/>
      <c r="H113" s="16"/>
    </row>
    <row r="114" spans="1:8" x14ac:dyDescent="0.25">
      <c r="A114" s="16"/>
      <c r="B114" s="16"/>
      <c r="C114" s="16"/>
      <c r="D114" s="16"/>
      <c r="E114" s="16"/>
      <c r="F114" s="16"/>
      <c r="G114" s="16"/>
      <c r="H114" s="16"/>
    </row>
    <row r="115" spans="1:8" x14ac:dyDescent="0.25">
      <c r="A115" s="16"/>
      <c r="B115" s="16"/>
      <c r="C115" s="16"/>
      <c r="D115" s="16"/>
      <c r="E115" s="16"/>
      <c r="F115" s="16"/>
      <c r="G115" s="16"/>
      <c r="H115" s="16"/>
    </row>
    <row r="116" spans="1:8" x14ac:dyDescent="0.25">
      <c r="A116" s="16"/>
      <c r="B116" s="16"/>
      <c r="C116" s="16"/>
      <c r="D116" s="16"/>
      <c r="E116" s="16"/>
      <c r="F116" s="16"/>
      <c r="G116" s="16"/>
      <c r="H116" s="16"/>
    </row>
    <row r="117" spans="1:8" x14ac:dyDescent="0.25">
      <c r="A117" s="16"/>
      <c r="B117" s="16"/>
      <c r="C117" s="16"/>
      <c r="D117" s="16"/>
      <c r="E117" s="16"/>
      <c r="F117" s="16"/>
      <c r="G117" s="16"/>
      <c r="H117" s="16"/>
    </row>
    <row r="118" spans="1:8" x14ac:dyDescent="0.25">
      <c r="A118" s="16"/>
      <c r="B118" s="16"/>
      <c r="C118" s="16"/>
      <c r="D118" s="16"/>
      <c r="E118" s="16"/>
      <c r="F118" s="16"/>
      <c r="G118" s="16"/>
      <c r="H118" s="16"/>
    </row>
    <row r="119" spans="1:8" x14ac:dyDescent="0.25">
      <c r="A119" s="16"/>
      <c r="B119" s="16"/>
      <c r="C119" s="16"/>
      <c r="D119" s="16"/>
      <c r="E119" s="16"/>
      <c r="F119" s="16"/>
      <c r="G119" s="16"/>
      <c r="H119" s="16"/>
    </row>
    <row r="120" spans="1:8" x14ac:dyDescent="0.25">
      <c r="A120" s="16"/>
      <c r="B120" s="16"/>
      <c r="C120" s="16"/>
      <c r="D120" s="16"/>
      <c r="E120" s="16"/>
      <c r="F120" s="16"/>
      <c r="G120" s="16"/>
      <c r="H120" s="16"/>
    </row>
    <row r="121" spans="1:8" x14ac:dyDescent="0.25">
      <c r="A121" s="16"/>
      <c r="B121" s="16"/>
      <c r="C121" s="16"/>
      <c r="D121" s="16"/>
      <c r="E121" s="16"/>
      <c r="F121" s="16"/>
      <c r="G121" s="16"/>
      <c r="H121" s="16"/>
    </row>
    <row r="122" spans="1:8" x14ac:dyDescent="0.25">
      <c r="A122" s="16"/>
      <c r="B122" s="16"/>
      <c r="C122" s="16"/>
      <c r="D122" s="16"/>
      <c r="E122" s="16"/>
      <c r="F122" s="16"/>
      <c r="G122" s="16"/>
      <c r="H122" s="16"/>
    </row>
    <row r="123" spans="1:8" x14ac:dyDescent="0.25">
      <c r="A123" s="16"/>
      <c r="B123" s="16"/>
      <c r="C123" s="16"/>
      <c r="D123" s="16"/>
      <c r="E123" s="16"/>
      <c r="F123" s="16"/>
      <c r="G123" s="16"/>
      <c r="H123" s="16"/>
    </row>
    <row r="124" spans="1:8" x14ac:dyDescent="0.25">
      <c r="A124" s="16"/>
      <c r="B124" s="16"/>
      <c r="C124" s="16"/>
      <c r="D124" s="16"/>
      <c r="E124" s="16"/>
      <c r="F124" s="16"/>
      <c r="G124" s="16"/>
      <c r="H124" s="16"/>
    </row>
    <row r="125" spans="1:8" x14ac:dyDescent="0.25">
      <c r="A125" s="16"/>
      <c r="B125" s="16"/>
      <c r="C125" s="16"/>
      <c r="D125" s="16"/>
      <c r="E125" s="16"/>
      <c r="F125" s="16"/>
      <c r="G125" s="16"/>
      <c r="H125" s="16"/>
    </row>
    <row r="126" spans="1:8" x14ac:dyDescent="0.25">
      <c r="A126" s="16"/>
      <c r="B126" s="16"/>
      <c r="C126" s="16"/>
      <c r="D126" s="16"/>
      <c r="E126" s="16"/>
      <c r="F126" s="16"/>
      <c r="G126" s="16"/>
      <c r="H126" s="16"/>
    </row>
    <row r="127" spans="1:8" x14ac:dyDescent="0.25">
      <c r="A127" s="16"/>
      <c r="B127" s="16"/>
      <c r="C127" s="16"/>
      <c r="D127" s="16"/>
      <c r="E127" s="16"/>
      <c r="F127" s="16"/>
      <c r="G127" s="16"/>
      <c r="H127" s="16"/>
    </row>
    <row r="128" spans="1:8" x14ac:dyDescent="0.25">
      <c r="A128" s="16"/>
      <c r="B128" s="16"/>
      <c r="C128" s="16"/>
      <c r="D128" s="16"/>
      <c r="E128" s="16"/>
      <c r="F128" s="16"/>
      <c r="G128" s="16"/>
      <c r="H128" s="16"/>
    </row>
    <row r="129" spans="1:8" x14ac:dyDescent="0.25">
      <c r="A129" s="16"/>
      <c r="B129" s="16"/>
      <c r="C129" s="16"/>
      <c r="D129" s="16"/>
      <c r="E129" s="16"/>
      <c r="F129" s="16"/>
      <c r="G129" s="16"/>
      <c r="H129" s="16"/>
    </row>
    <row r="130" spans="1:8" x14ac:dyDescent="0.25">
      <c r="A130" s="16"/>
      <c r="B130" s="16"/>
      <c r="C130" s="16"/>
      <c r="D130" s="16"/>
      <c r="E130" s="16"/>
      <c r="F130" s="16"/>
      <c r="G130" s="16"/>
      <c r="H130" s="16"/>
    </row>
    <row r="131" spans="1:8" x14ac:dyDescent="0.25">
      <c r="A131" s="16"/>
      <c r="B131" s="16"/>
      <c r="C131" s="16"/>
      <c r="D131" s="16"/>
      <c r="E131" s="16"/>
      <c r="F131" s="16"/>
      <c r="G131" s="16"/>
      <c r="H131" s="16"/>
    </row>
    <row r="132" spans="1:8" x14ac:dyDescent="0.25">
      <c r="A132" s="16"/>
      <c r="B132" s="16"/>
      <c r="C132" s="16"/>
      <c r="D132" s="16"/>
      <c r="E132" s="16"/>
      <c r="F132" s="16"/>
      <c r="G132" s="16"/>
      <c r="H132" s="16"/>
    </row>
    <row r="133" spans="1:8" x14ac:dyDescent="0.25">
      <c r="A133" s="16"/>
      <c r="B133" s="16"/>
      <c r="C133" s="16"/>
      <c r="D133" s="16"/>
      <c r="E133" s="16"/>
      <c r="F133" s="16"/>
      <c r="G133" s="16"/>
      <c r="H133" s="16"/>
    </row>
    <row r="134" spans="1:8" x14ac:dyDescent="0.25">
      <c r="A134" s="16"/>
      <c r="B134" s="16"/>
      <c r="C134" s="16"/>
      <c r="D134" s="16"/>
      <c r="E134" s="16"/>
      <c r="F134" s="16"/>
      <c r="G134" s="16"/>
      <c r="H134" s="16"/>
    </row>
    <row r="135" spans="1:8" x14ac:dyDescent="0.25">
      <c r="A135" s="16"/>
      <c r="B135" s="16"/>
      <c r="C135" s="16"/>
      <c r="D135" s="16"/>
      <c r="E135" s="16"/>
      <c r="F135" s="16"/>
      <c r="G135" s="16"/>
      <c r="H135" s="16"/>
    </row>
    <row r="136" spans="1:8" x14ac:dyDescent="0.25">
      <c r="A136" s="16"/>
      <c r="B136" s="16"/>
      <c r="C136" s="16"/>
      <c r="D136" s="16"/>
      <c r="E136" s="16"/>
      <c r="F136" s="16"/>
      <c r="G136" s="16"/>
      <c r="H136" s="16"/>
    </row>
    <row r="137" spans="1:8" x14ac:dyDescent="0.25">
      <c r="A137" s="16"/>
      <c r="B137" s="16"/>
      <c r="C137" s="16"/>
      <c r="D137" s="16"/>
      <c r="E137" s="16"/>
      <c r="F137" s="16"/>
      <c r="G137" s="16"/>
      <c r="H137" s="16"/>
    </row>
    <row r="138" spans="1:8" x14ac:dyDescent="0.25">
      <c r="A138" s="16"/>
      <c r="B138" s="16"/>
      <c r="C138" s="16"/>
      <c r="D138" s="16"/>
      <c r="E138" s="16"/>
      <c r="F138" s="16"/>
      <c r="G138" s="16"/>
      <c r="H138" s="16"/>
    </row>
    <row r="139" spans="1:8" x14ac:dyDescent="0.25">
      <c r="A139" s="16"/>
      <c r="B139" s="16"/>
      <c r="C139" s="16"/>
      <c r="D139" s="16"/>
      <c r="E139" s="16"/>
      <c r="F139" s="16"/>
      <c r="G139" s="16"/>
      <c r="H139" s="16"/>
    </row>
    <row r="140" spans="1:8" x14ac:dyDescent="0.25">
      <c r="A140" s="16"/>
      <c r="B140" s="16"/>
      <c r="C140" s="16"/>
      <c r="D140" s="16"/>
      <c r="E140" s="16"/>
      <c r="F140" s="16"/>
      <c r="G140" s="16"/>
      <c r="H140" s="16"/>
    </row>
    <row r="141" spans="1:8" x14ac:dyDescent="0.25">
      <c r="A141" s="16"/>
      <c r="B141" s="16"/>
      <c r="C141" s="16"/>
      <c r="D141" s="16"/>
      <c r="E141" s="16"/>
      <c r="F141" s="16"/>
      <c r="G141" s="16"/>
      <c r="H141" s="16"/>
    </row>
    <row r="142" spans="1:8" x14ac:dyDescent="0.25">
      <c r="A142" s="16"/>
      <c r="B142" s="16"/>
      <c r="C142" s="16"/>
      <c r="D142" s="16"/>
      <c r="E142" s="16"/>
      <c r="F142" s="16"/>
      <c r="G142" s="16"/>
      <c r="H142" s="16"/>
    </row>
    <row r="143" spans="1:8" x14ac:dyDescent="0.25">
      <c r="A143" s="16"/>
      <c r="B143" s="16"/>
      <c r="C143" s="16"/>
      <c r="D143" s="16"/>
      <c r="E143" s="16"/>
      <c r="F143" s="16"/>
      <c r="G143" s="16"/>
      <c r="H143" s="16"/>
    </row>
    <row r="144" spans="1:8" x14ac:dyDescent="0.25">
      <c r="A144" s="16"/>
      <c r="B144" s="16"/>
      <c r="C144" s="16"/>
      <c r="D144" s="16"/>
      <c r="E144" s="16"/>
      <c r="F144" s="16"/>
      <c r="G144" s="16"/>
      <c r="H144" s="16"/>
    </row>
    <row r="145" spans="1:8" x14ac:dyDescent="0.25">
      <c r="A145" s="16"/>
      <c r="B145" s="16"/>
      <c r="C145" s="16"/>
      <c r="D145" s="16"/>
      <c r="E145" s="16"/>
      <c r="F145" s="16"/>
      <c r="G145" s="16"/>
      <c r="H145" s="16"/>
    </row>
    <row r="146" spans="1:8" x14ac:dyDescent="0.25">
      <c r="A146" s="16"/>
      <c r="B146" s="16"/>
      <c r="C146" s="16"/>
      <c r="D146" s="16"/>
      <c r="E146" s="16"/>
      <c r="F146" s="16"/>
      <c r="G146" s="16"/>
      <c r="H146" s="16"/>
    </row>
    <row r="147" spans="1:8" x14ac:dyDescent="0.25">
      <c r="A147" s="16"/>
      <c r="B147" s="16"/>
      <c r="C147" s="16"/>
      <c r="D147" s="16"/>
      <c r="E147" s="16"/>
      <c r="F147" s="16"/>
      <c r="G147" s="16"/>
      <c r="H147" s="16"/>
    </row>
    <row r="148" spans="1:8" x14ac:dyDescent="0.25">
      <c r="A148" s="16"/>
      <c r="B148" s="16"/>
      <c r="C148" s="16"/>
      <c r="D148" s="16"/>
      <c r="E148" s="16"/>
      <c r="F148" s="16"/>
      <c r="G148" s="16"/>
      <c r="H148" s="16"/>
    </row>
    <row r="149" spans="1:8" x14ac:dyDescent="0.25">
      <c r="A149" s="16"/>
      <c r="B149" s="16"/>
      <c r="C149" s="16"/>
      <c r="D149" s="16"/>
      <c r="E149" s="16"/>
      <c r="F149" s="16"/>
      <c r="G149" s="16"/>
      <c r="H149" s="16"/>
    </row>
    <row r="150" spans="1:8" x14ac:dyDescent="0.25">
      <c r="A150" s="16"/>
      <c r="B150" s="16"/>
      <c r="C150" s="16"/>
      <c r="D150" s="16"/>
      <c r="E150" s="16"/>
      <c r="F150" s="16"/>
      <c r="G150" s="16"/>
      <c r="H150" s="16"/>
    </row>
    <row r="151" spans="1:8" x14ac:dyDescent="0.25">
      <c r="A151" s="16"/>
      <c r="B151" s="16"/>
      <c r="C151" s="16"/>
      <c r="D151" s="16"/>
      <c r="E151" s="16"/>
      <c r="F151" s="16"/>
      <c r="G151" s="16"/>
      <c r="H151" s="16"/>
    </row>
    <row r="152" spans="1:8" x14ac:dyDescent="0.25">
      <c r="A152" s="16"/>
      <c r="B152" s="16"/>
      <c r="C152" s="16"/>
      <c r="D152" s="16"/>
      <c r="E152" s="16"/>
      <c r="F152" s="16"/>
      <c r="G152" s="16"/>
      <c r="H152" s="16"/>
    </row>
    <row r="153" spans="1:8" x14ac:dyDescent="0.25">
      <c r="A153" s="16"/>
      <c r="B153" s="16"/>
      <c r="C153" s="16"/>
      <c r="D153" s="16"/>
      <c r="E153" s="16"/>
      <c r="F153" s="16"/>
      <c r="G153" s="16"/>
      <c r="H153" s="16"/>
    </row>
    <row r="154" spans="1:8" x14ac:dyDescent="0.25">
      <c r="A154" s="16"/>
      <c r="B154" s="16"/>
      <c r="C154" s="16"/>
      <c r="D154" s="16"/>
      <c r="E154" s="16"/>
      <c r="F154" s="16"/>
      <c r="G154" s="16"/>
      <c r="H154" s="16"/>
    </row>
    <row r="155" spans="1:8" x14ac:dyDescent="0.25">
      <c r="A155" s="16"/>
      <c r="B155" s="16"/>
      <c r="C155" s="16"/>
      <c r="D155" s="16"/>
      <c r="E155" s="16"/>
      <c r="F155" s="16"/>
      <c r="G155" s="16"/>
      <c r="H155" s="16"/>
    </row>
    <row r="156" spans="1:8" x14ac:dyDescent="0.25">
      <c r="A156" s="16"/>
      <c r="B156" s="16"/>
      <c r="C156" s="16"/>
      <c r="D156" s="16"/>
      <c r="E156" s="16"/>
      <c r="F156" s="16"/>
      <c r="G156" s="16"/>
      <c r="H156" s="16"/>
    </row>
    <row r="157" spans="1:8" x14ac:dyDescent="0.25">
      <c r="A157" s="16"/>
      <c r="B157" s="16"/>
      <c r="C157" s="16"/>
      <c r="D157" s="16"/>
      <c r="E157" s="16"/>
      <c r="F157" s="16"/>
      <c r="G157" s="16"/>
      <c r="H157" s="16"/>
    </row>
    <row r="158" spans="1:8" x14ac:dyDescent="0.25">
      <c r="A158" s="16"/>
      <c r="B158" s="16"/>
      <c r="C158" s="16"/>
      <c r="D158" s="16"/>
      <c r="E158" s="16"/>
      <c r="F158" s="16"/>
      <c r="G158" s="16"/>
      <c r="H158" s="16"/>
    </row>
    <row r="159" spans="1:8" x14ac:dyDescent="0.25">
      <c r="A159" s="16"/>
      <c r="B159" s="16"/>
      <c r="C159" s="16"/>
      <c r="D159" s="16"/>
      <c r="E159" s="16"/>
      <c r="F159" s="16"/>
      <c r="G159" s="16"/>
      <c r="H159" s="16"/>
    </row>
    <row r="160" spans="1:8" x14ac:dyDescent="0.25">
      <c r="A160" s="16"/>
      <c r="B160" s="16"/>
      <c r="C160" s="16"/>
      <c r="D160" s="16"/>
      <c r="E160" s="16"/>
      <c r="F160" s="16"/>
      <c r="G160" s="16"/>
      <c r="H160" s="16"/>
    </row>
    <row r="161" spans="1:8" x14ac:dyDescent="0.25">
      <c r="A161" s="16"/>
      <c r="B161" s="16"/>
      <c r="C161" s="16"/>
      <c r="D161" s="16"/>
      <c r="E161" s="16"/>
      <c r="F161" s="16"/>
      <c r="G161" s="16"/>
      <c r="H161" s="16"/>
    </row>
    <row r="162" spans="1:8" x14ac:dyDescent="0.25">
      <c r="A162" s="16"/>
      <c r="B162" s="16"/>
      <c r="C162" s="16"/>
      <c r="D162" s="16"/>
      <c r="E162" s="16"/>
      <c r="F162" s="16"/>
      <c r="G162" s="16"/>
      <c r="H162" s="16"/>
    </row>
    <row r="163" spans="1:8" x14ac:dyDescent="0.25">
      <c r="A163" s="16"/>
      <c r="B163" s="16"/>
      <c r="C163" s="16"/>
      <c r="D163" s="16"/>
      <c r="E163" s="16"/>
      <c r="F163" s="16"/>
      <c r="G163" s="16"/>
      <c r="H163" s="16"/>
    </row>
    <row r="164" spans="1:8" x14ac:dyDescent="0.25">
      <c r="A164" s="16"/>
      <c r="B164" s="16"/>
      <c r="C164" s="16"/>
      <c r="D164" s="16"/>
      <c r="E164" s="16"/>
      <c r="F164" s="16"/>
      <c r="G164" s="16"/>
      <c r="H164" s="16"/>
    </row>
    <row r="165" spans="1:8" x14ac:dyDescent="0.25">
      <c r="A165" s="16"/>
      <c r="B165" s="16"/>
      <c r="C165" s="16"/>
      <c r="D165" s="16"/>
      <c r="E165" s="16"/>
      <c r="F165" s="16"/>
      <c r="G165" s="16"/>
      <c r="H165" s="16"/>
    </row>
    <row r="166" spans="1:8" x14ac:dyDescent="0.25">
      <c r="A166" s="16"/>
      <c r="B166" s="16"/>
      <c r="C166" s="16"/>
      <c r="D166" s="16"/>
      <c r="E166" s="16"/>
      <c r="F166" s="16"/>
      <c r="G166" s="16"/>
      <c r="H166" s="16"/>
    </row>
    <row r="167" spans="1:8" x14ac:dyDescent="0.25">
      <c r="A167" s="16"/>
      <c r="B167" s="16"/>
      <c r="C167" s="16"/>
      <c r="D167" s="16"/>
      <c r="E167" s="16"/>
      <c r="F167" s="16"/>
      <c r="G167" s="16"/>
      <c r="H167" s="16"/>
    </row>
    <row r="168" spans="1:8" x14ac:dyDescent="0.25">
      <c r="A168" s="16"/>
      <c r="B168" s="16"/>
      <c r="C168" s="16"/>
      <c r="D168" s="16"/>
      <c r="E168" s="16"/>
      <c r="F168" s="16"/>
      <c r="G168" s="16"/>
      <c r="H168" s="16"/>
    </row>
    <row r="169" spans="1:8" x14ac:dyDescent="0.25">
      <c r="A169" s="16"/>
      <c r="B169" s="16"/>
      <c r="C169" s="16"/>
      <c r="D169" s="16"/>
      <c r="E169" s="16"/>
      <c r="F169" s="16"/>
      <c r="G169" s="16"/>
      <c r="H169" s="16"/>
    </row>
    <row r="170" spans="1:8" x14ac:dyDescent="0.25">
      <c r="A170" s="16"/>
      <c r="B170" s="16"/>
      <c r="C170" s="16"/>
      <c r="D170" s="16"/>
      <c r="E170" s="16"/>
      <c r="F170" s="16"/>
      <c r="G170" s="16"/>
      <c r="H170" s="16"/>
    </row>
    <row r="171" spans="1:8" x14ac:dyDescent="0.25">
      <c r="A171" s="16"/>
      <c r="B171" s="16"/>
      <c r="C171" s="16"/>
      <c r="D171" s="16"/>
      <c r="E171" s="16"/>
      <c r="F171" s="16"/>
      <c r="G171" s="16"/>
      <c r="H171" s="16"/>
    </row>
    <row r="172" spans="1:8" x14ac:dyDescent="0.25">
      <c r="A172" s="16"/>
      <c r="B172" s="16"/>
      <c r="C172" s="16"/>
      <c r="D172" s="16"/>
      <c r="E172" s="16"/>
      <c r="F172" s="16"/>
      <c r="G172" s="16"/>
      <c r="H172" s="16"/>
    </row>
    <row r="173" spans="1:8" x14ac:dyDescent="0.25">
      <c r="A173" s="16"/>
      <c r="B173" s="16"/>
      <c r="C173" s="16"/>
      <c r="D173" s="16"/>
      <c r="E173" s="16"/>
      <c r="F173" s="16"/>
      <c r="G173" s="16"/>
      <c r="H173" s="16"/>
    </row>
    <row r="174" spans="1:8" x14ac:dyDescent="0.25">
      <c r="A174" s="16"/>
      <c r="B174" s="16"/>
      <c r="C174" s="16"/>
      <c r="D174" s="16"/>
      <c r="E174" s="16"/>
      <c r="F174" s="16"/>
      <c r="G174" s="16"/>
      <c r="H174" s="16"/>
    </row>
    <row r="175" spans="1:8" x14ac:dyDescent="0.25">
      <c r="A175" s="16"/>
      <c r="B175" s="16"/>
      <c r="C175" s="16"/>
      <c r="D175" s="16"/>
      <c r="E175" s="16"/>
      <c r="F175" s="16"/>
      <c r="G175" s="16"/>
      <c r="H175" s="16"/>
    </row>
    <row r="176" spans="1:8" x14ac:dyDescent="0.25">
      <c r="A176" s="16"/>
      <c r="B176" s="16"/>
      <c r="C176" s="16"/>
      <c r="D176" s="16"/>
      <c r="E176" s="16"/>
      <c r="F176" s="16"/>
      <c r="G176" s="16"/>
      <c r="H176" s="16"/>
    </row>
    <row r="177" spans="1:8" x14ac:dyDescent="0.25">
      <c r="A177" s="16"/>
      <c r="B177" s="16"/>
      <c r="C177" s="16"/>
      <c r="D177" s="16"/>
      <c r="E177" s="16"/>
      <c r="F177" s="16"/>
      <c r="G177" s="16"/>
      <c r="H177" s="16"/>
    </row>
    <row r="178" spans="1:8" x14ac:dyDescent="0.25">
      <c r="A178" s="16"/>
      <c r="B178" s="16"/>
      <c r="C178" s="16"/>
      <c r="D178" s="16"/>
      <c r="E178" s="16"/>
      <c r="F178" s="16"/>
      <c r="G178" s="16"/>
      <c r="H178" s="16"/>
    </row>
    <row r="179" spans="1:8" x14ac:dyDescent="0.25">
      <c r="A179" s="16"/>
      <c r="B179" s="16"/>
      <c r="C179" s="16"/>
      <c r="D179" s="16"/>
      <c r="E179" s="16"/>
      <c r="F179" s="16"/>
      <c r="G179" s="16"/>
      <c r="H179" s="16"/>
    </row>
    <row r="180" spans="1:8" x14ac:dyDescent="0.25">
      <c r="A180" s="16"/>
      <c r="B180" s="16"/>
      <c r="C180" s="16"/>
      <c r="D180" s="16"/>
      <c r="E180" s="16"/>
      <c r="F180" s="16"/>
      <c r="G180" s="16"/>
      <c r="H180" s="16"/>
    </row>
    <row r="181" spans="1:8" x14ac:dyDescent="0.25">
      <c r="A181" s="16"/>
      <c r="B181" s="16"/>
      <c r="C181" s="16"/>
      <c r="D181" s="16"/>
      <c r="E181" s="16"/>
      <c r="F181" s="16"/>
      <c r="G181" s="16"/>
      <c r="H181" s="16"/>
    </row>
    <row r="182" spans="1:8" x14ac:dyDescent="0.25">
      <c r="A182" s="16"/>
      <c r="B182" s="16"/>
      <c r="C182" s="16"/>
      <c r="D182" s="16"/>
      <c r="E182" s="16"/>
      <c r="F182" s="16"/>
      <c r="G182" s="16"/>
      <c r="H182" s="16"/>
    </row>
    <row r="183" spans="1:8" x14ac:dyDescent="0.25">
      <c r="A183" s="16"/>
      <c r="B183" s="16"/>
      <c r="C183" s="16"/>
      <c r="D183" s="16"/>
      <c r="E183" s="16"/>
      <c r="F183" s="16"/>
      <c r="G183" s="16"/>
      <c r="H183" s="16"/>
    </row>
    <row r="184" spans="1:8" x14ac:dyDescent="0.25">
      <c r="A184" s="16"/>
      <c r="B184" s="16"/>
      <c r="C184" s="16"/>
      <c r="D184" s="16"/>
      <c r="E184" s="16"/>
      <c r="F184" s="16"/>
      <c r="G184" s="16"/>
      <c r="H184" s="16"/>
    </row>
    <row r="185" spans="1:8" x14ac:dyDescent="0.25">
      <c r="A185" s="16"/>
      <c r="B185" s="16"/>
      <c r="C185" s="16"/>
      <c r="D185" s="16"/>
      <c r="E185" s="16"/>
      <c r="F185" s="16"/>
      <c r="G185" s="16"/>
      <c r="H185" s="16"/>
    </row>
    <row r="186" spans="1:8" x14ac:dyDescent="0.25">
      <c r="A186" s="16"/>
      <c r="B186" s="16"/>
      <c r="C186" s="16"/>
      <c r="D186" s="16"/>
      <c r="E186" s="16"/>
      <c r="F186" s="16"/>
      <c r="G186" s="16"/>
      <c r="H186" s="16"/>
    </row>
    <row r="187" spans="1:8" x14ac:dyDescent="0.25">
      <c r="A187" s="16"/>
      <c r="B187" s="16"/>
      <c r="C187" s="16"/>
      <c r="D187" s="16"/>
      <c r="E187" s="16"/>
      <c r="F187" s="16"/>
      <c r="G187" s="16"/>
      <c r="H187" s="16"/>
    </row>
    <row r="188" spans="1:8" x14ac:dyDescent="0.25">
      <c r="A188" s="16"/>
      <c r="B188" s="16"/>
      <c r="C188" s="16"/>
      <c r="D188" s="16"/>
      <c r="E188" s="16"/>
      <c r="F188" s="16"/>
      <c r="G188" s="16"/>
      <c r="H188" s="16"/>
    </row>
    <row r="189" spans="1:8" x14ac:dyDescent="0.25">
      <c r="A189" s="16"/>
      <c r="B189" s="16"/>
      <c r="C189" s="16"/>
      <c r="D189" s="16"/>
      <c r="E189" s="16"/>
      <c r="F189" s="16"/>
      <c r="G189" s="16"/>
      <c r="H189" s="16"/>
    </row>
    <row r="190" spans="1:8" x14ac:dyDescent="0.25">
      <c r="A190" s="16"/>
      <c r="B190" s="16"/>
      <c r="C190" s="16"/>
      <c r="D190" s="16"/>
      <c r="E190" s="16"/>
      <c r="F190" s="16"/>
      <c r="G190" s="16"/>
      <c r="H190" s="16"/>
    </row>
    <row r="191" spans="1:8" x14ac:dyDescent="0.25">
      <c r="A191" s="16"/>
      <c r="B191" s="16"/>
      <c r="C191" s="16"/>
      <c r="D191" s="16"/>
      <c r="E191" s="16"/>
      <c r="F191" s="16"/>
      <c r="G191" s="16"/>
      <c r="H191" s="16"/>
    </row>
    <row r="192" spans="1:8" x14ac:dyDescent="0.25">
      <c r="A192" s="16"/>
      <c r="B192" s="16"/>
      <c r="C192" s="16"/>
      <c r="D192" s="16"/>
      <c r="E192" s="16"/>
      <c r="F192" s="16"/>
      <c r="G192" s="16"/>
      <c r="H192" s="16"/>
    </row>
    <row r="193" spans="1:8" x14ac:dyDescent="0.25">
      <c r="A193" s="16"/>
      <c r="B193" s="16"/>
      <c r="C193" s="16"/>
      <c r="D193" s="16"/>
      <c r="E193" s="16"/>
      <c r="F193" s="16"/>
      <c r="G193" s="16"/>
      <c r="H193" s="16"/>
    </row>
    <row r="194" spans="1:8" x14ac:dyDescent="0.25">
      <c r="A194" s="16"/>
      <c r="B194" s="16"/>
      <c r="C194" s="16"/>
      <c r="D194" s="16"/>
      <c r="E194" s="16"/>
      <c r="F194" s="16"/>
      <c r="G194" s="16"/>
      <c r="H194" s="16"/>
    </row>
    <row r="195" spans="1:8" x14ac:dyDescent="0.25">
      <c r="A195" s="16"/>
      <c r="B195" s="16"/>
      <c r="C195" s="16"/>
      <c r="D195" s="16"/>
      <c r="E195" s="16"/>
      <c r="F195" s="16"/>
      <c r="G195" s="16"/>
      <c r="H195" s="16"/>
    </row>
    <row r="196" spans="1:8" x14ac:dyDescent="0.25">
      <c r="A196" s="16"/>
      <c r="B196" s="16"/>
      <c r="C196" s="16"/>
      <c r="D196" s="16"/>
      <c r="E196" s="16"/>
      <c r="F196" s="16"/>
      <c r="G196" s="16"/>
      <c r="H196" s="16"/>
    </row>
    <row r="197" spans="1:8" x14ac:dyDescent="0.25">
      <c r="A197" s="16"/>
      <c r="B197" s="16"/>
      <c r="C197" s="16"/>
      <c r="D197" s="16"/>
      <c r="E197" s="16"/>
      <c r="F197" s="16"/>
      <c r="G197" s="16"/>
      <c r="H197" s="16"/>
    </row>
    <row r="198" spans="1:8" x14ac:dyDescent="0.25">
      <c r="A198" s="16"/>
      <c r="B198" s="16"/>
      <c r="C198" s="16"/>
      <c r="D198" s="16"/>
      <c r="E198" s="16"/>
      <c r="F198" s="16"/>
      <c r="G198" s="16"/>
      <c r="H198" s="16"/>
    </row>
    <row r="199" spans="1:8" x14ac:dyDescent="0.25">
      <c r="A199" s="16"/>
      <c r="B199" s="16"/>
      <c r="C199" s="16"/>
      <c r="D199" s="16"/>
      <c r="E199" s="16"/>
      <c r="F199" s="16"/>
      <c r="G199" s="16"/>
      <c r="H199" s="16"/>
    </row>
    <row r="200" spans="1:8" x14ac:dyDescent="0.25">
      <c r="A200" s="16"/>
      <c r="B200" s="16"/>
      <c r="C200" s="16"/>
      <c r="D200" s="16"/>
      <c r="E200" s="16"/>
      <c r="F200" s="16"/>
      <c r="G200" s="16"/>
      <c r="H200" s="16"/>
    </row>
    <row r="201" spans="1:8" x14ac:dyDescent="0.25">
      <c r="A201" s="16"/>
      <c r="B201" s="16"/>
      <c r="C201" s="16"/>
      <c r="D201" s="16"/>
      <c r="E201" s="16"/>
      <c r="F201" s="16"/>
      <c r="G201" s="16"/>
      <c r="H201" s="16"/>
    </row>
    <row r="202" spans="1:8" x14ac:dyDescent="0.25">
      <c r="A202" s="16"/>
      <c r="B202" s="16"/>
      <c r="C202" s="16"/>
      <c r="D202" s="16"/>
      <c r="E202" s="16"/>
      <c r="F202" s="16"/>
      <c r="G202" s="16"/>
      <c r="H202" s="16"/>
    </row>
    <row r="203" spans="1:8" x14ac:dyDescent="0.25">
      <c r="A203" s="16"/>
      <c r="B203" s="16"/>
      <c r="C203" s="16"/>
      <c r="D203" s="16"/>
      <c r="E203" s="16"/>
      <c r="F203" s="16"/>
      <c r="G203" s="16"/>
      <c r="H203" s="16"/>
    </row>
    <row r="204" spans="1:8" x14ac:dyDescent="0.25">
      <c r="A204" s="16"/>
      <c r="B204" s="16"/>
      <c r="C204" s="16"/>
      <c r="D204" s="16"/>
      <c r="E204" s="16"/>
      <c r="F204" s="16"/>
      <c r="G204" s="16"/>
      <c r="H204" s="16"/>
    </row>
    <row r="205" spans="1:8" x14ac:dyDescent="0.25">
      <c r="A205" s="16"/>
      <c r="B205" s="16"/>
      <c r="C205" s="16"/>
      <c r="D205" s="16"/>
      <c r="E205" s="16"/>
      <c r="F205" s="16"/>
      <c r="G205" s="16"/>
      <c r="H205" s="16"/>
    </row>
    <row r="206" spans="1:8" x14ac:dyDescent="0.25">
      <c r="A206" s="16"/>
      <c r="B206" s="16"/>
      <c r="C206" s="16"/>
      <c r="D206" s="16"/>
      <c r="E206" s="16"/>
      <c r="F206" s="16"/>
      <c r="G206" s="16"/>
      <c r="H206" s="16"/>
    </row>
    <row r="207" spans="1:8" x14ac:dyDescent="0.25">
      <c r="A207" s="16"/>
      <c r="B207" s="16"/>
      <c r="C207" s="16"/>
      <c r="D207" s="16"/>
      <c r="E207" s="16"/>
      <c r="F207" s="16"/>
      <c r="G207" s="16"/>
      <c r="H207" s="16"/>
    </row>
    <row r="208" spans="1:8" x14ac:dyDescent="0.25">
      <c r="A208" s="16"/>
      <c r="B208" s="16"/>
      <c r="C208" s="16"/>
      <c r="D208" s="16"/>
      <c r="E208" s="16"/>
      <c r="F208" s="16"/>
      <c r="G208" s="16"/>
      <c r="H208" s="16"/>
    </row>
    <row r="209" spans="1:8" x14ac:dyDescent="0.25">
      <c r="A209" s="16"/>
      <c r="B209" s="16"/>
      <c r="C209" s="16"/>
      <c r="D209" s="16"/>
      <c r="E209" s="16"/>
      <c r="F209" s="16"/>
      <c r="G209" s="16"/>
      <c r="H209" s="16"/>
    </row>
    <row r="210" spans="1:8" x14ac:dyDescent="0.25">
      <c r="A210" s="16"/>
      <c r="B210" s="16"/>
      <c r="C210" s="16"/>
      <c r="D210" s="16"/>
      <c r="E210" s="16"/>
      <c r="F210" s="16"/>
      <c r="G210" s="16"/>
      <c r="H210" s="16"/>
    </row>
    <row r="211" spans="1:8" x14ac:dyDescent="0.25">
      <c r="A211" s="16"/>
      <c r="B211" s="16"/>
      <c r="C211" s="16"/>
      <c r="D211" s="16"/>
      <c r="E211" s="16"/>
      <c r="F211" s="16"/>
      <c r="G211" s="16"/>
      <c r="H211" s="16"/>
    </row>
    <row r="212" spans="1:8" x14ac:dyDescent="0.25">
      <c r="A212" s="16"/>
      <c r="B212" s="16"/>
      <c r="C212" s="16"/>
      <c r="D212" s="16"/>
      <c r="E212" s="16"/>
      <c r="F212" s="16"/>
      <c r="G212" s="16"/>
      <c r="H212" s="16"/>
    </row>
    <row r="213" spans="1:8" x14ac:dyDescent="0.25">
      <c r="A213" s="16"/>
      <c r="B213" s="16"/>
      <c r="C213" s="16"/>
      <c r="D213" s="16"/>
      <c r="E213" s="16"/>
      <c r="F213" s="16"/>
      <c r="G213" s="16"/>
      <c r="H213" s="16"/>
    </row>
    <row r="214" spans="1:8" x14ac:dyDescent="0.25">
      <c r="A214" s="16"/>
      <c r="B214" s="16"/>
      <c r="C214" s="16"/>
      <c r="D214" s="16"/>
      <c r="E214" s="16"/>
      <c r="F214" s="16"/>
      <c r="G214" s="16"/>
      <c r="H214" s="16"/>
    </row>
    <row r="215" spans="1:8" x14ac:dyDescent="0.25">
      <c r="A215" s="16"/>
      <c r="B215" s="16"/>
      <c r="C215" s="16"/>
      <c r="D215" s="16"/>
      <c r="E215" s="16"/>
      <c r="F215" s="16"/>
      <c r="G215" s="16"/>
      <c r="H215" s="16"/>
    </row>
    <row r="216" spans="1:8" x14ac:dyDescent="0.25">
      <c r="A216" s="16"/>
      <c r="B216" s="16"/>
      <c r="C216" s="16"/>
      <c r="D216" s="16"/>
      <c r="E216" s="16"/>
      <c r="F216" s="16"/>
      <c r="G216" s="16"/>
      <c r="H216" s="16"/>
    </row>
    <row r="217" spans="1:8" x14ac:dyDescent="0.25">
      <c r="A217" s="16"/>
      <c r="B217" s="16"/>
      <c r="C217" s="16"/>
      <c r="D217" s="16"/>
      <c r="E217" s="16"/>
      <c r="F217" s="16"/>
      <c r="G217" s="16"/>
      <c r="H217" s="16"/>
    </row>
    <row r="218" spans="1:8" x14ac:dyDescent="0.25">
      <c r="A218" s="16"/>
      <c r="B218" s="16"/>
      <c r="C218" s="16"/>
      <c r="D218" s="16"/>
      <c r="E218" s="16"/>
      <c r="F218" s="16"/>
      <c r="G218" s="16"/>
      <c r="H218" s="16"/>
    </row>
    <row r="219" spans="1:8" x14ac:dyDescent="0.25">
      <c r="A219" s="16"/>
      <c r="B219" s="16"/>
      <c r="C219" s="16"/>
      <c r="D219" s="16"/>
      <c r="E219" s="16"/>
      <c r="F219" s="16"/>
      <c r="G219" s="16"/>
      <c r="H219" s="16"/>
    </row>
    <row r="220" spans="1:8" x14ac:dyDescent="0.25">
      <c r="A220" s="16"/>
      <c r="B220" s="16"/>
      <c r="C220" s="16"/>
      <c r="D220" s="16"/>
      <c r="E220" s="16"/>
      <c r="F220" s="16"/>
      <c r="G220" s="16"/>
      <c r="H220" s="16"/>
    </row>
    <row r="221" spans="1:8" x14ac:dyDescent="0.25">
      <c r="A221" s="16"/>
      <c r="B221" s="16"/>
      <c r="C221" s="16"/>
      <c r="D221" s="16"/>
      <c r="E221" s="16"/>
      <c r="F221" s="16"/>
      <c r="G221" s="16"/>
      <c r="H221" s="16"/>
    </row>
    <row r="222" spans="1:8" x14ac:dyDescent="0.25">
      <c r="A222" s="16"/>
      <c r="B222" s="16"/>
      <c r="C222" s="16"/>
      <c r="D222" s="16"/>
      <c r="E222" s="16"/>
      <c r="F222" s="16"/>
      <c r="G222" s="16"/>
      <c r="H222" s="16"/>
    </row>
    <row r="223" spans="1:8" x14ac:dyDescent="0.25">
      <c r="A223" s="16"/>
      <c r="B223" s="16"/>
      <c r="C223" s="16"/>
      <c r="D223" s="16"/>
      <c r="E223" s="16"/>
      <c r="F223" s="16"/>
      <c r="G223" s="16"/>
      <c r="H223" s="16"/>
    </row>
    <row r="224" spans="1:8" x14ac:dyDescent="0.25">
      <c r="A224" s="16"/>
      <c r="B224" s="16"/>
      <c r="C224" s="16"/>
      <c r="D224" s="16"/>
      <c r="E224" s="16"/>
      <c r="F224" s="16"/>
      <c r="G224" s="16"/>
      <c r="H224" s="16"/>
    </row>
    <row r="225" spans="1:8" x14ac:dyDescent="0.25">
      <c r="A225" s="16"/>
      <c r="B225" s="16"/>
      <c r="C225" s="16"/>
      <c r="D225" s="16"/>
      <c r="E225" s="16"/>
      <c r="F225" s="16"/>
      <c r="G225" s="16"/>
      <c r="H225" s="16"/>
    </row>
    <row r="226" spans="1:8" x14ac:dyDescent="0.25">
      <c r="A226" s="16"/>
      <c r="B226" s="16"/>
      <c r="C226" s="16"/>
      <c r="D226" s="16"/>
      <c r="E226" s="16"/>
      <c r="F226" s="16"/>
      <c r="G226" s="16"/>
      <c r="H226" s="16"/>
    </row>
    <row r="227" spans="1:8" x14ac:dyDescent="0.25">
      <c r="A227" s="16"/>
      <c r="B227" s="16"/>
      <c r="C227" s="16"/>
      <c r="D227" s="16"/>
      <c r="E227" s="16"/>
      <c r="F227" s="16"/>
      <c r="G227" s="16"/>
      <c r="H227" s="16"/>
    </row>
    <row r="228" spans="1:8" x14ac:dyDescent="0.25">
      <c r="A228" s="16"/>
      <c r="B228" s="16"/>
      <c r="C228" s="16"/>
      <c r="D228" s="16"/>
      <c r="E228" s="16"/>
      <c r="F228" s="16"/>
      <c r="G228" s="16"/>
      <c r="H228" s="16"/>
    </row>
    <row r="229" spans="1:8" x14ac:dyDescent="0.25">
      <c r="A229" s="16"/>
      <c r="B229" s="16"/>
      <c r="C229" s="16"/>
      <c r="D229" s="16"/>
      <c r="E229" s="16"/>
      <c r="F229" s="16"/>
      <c r="G229" s="16"/>
      <c r="H229" s="16"/>
    </row>
    <row r="230" spans="1:8" x14ac:dyDescent="0.25">
      <c r="A230" s="16"/>
      <c r="B230" s="16"/>
      <c r="C230" s="16"/>
      <c r="D230" s="16"/>
      <c r="E230" s="16"/>
      <c r="F230" s="16"/>
      <c r="G230" s="16"/>
      <c r="H230" s="16"/>
    </row>
    <row r="231" spans="1:8" x14ac:dyDescent="0.25">
      <c r="A231" s="16"/>
      <c r="B231" s="16"/>
      <c r="C231" s="16"/>
      <c r="D231" s="16"/>
      <c r="E231" s="16"/>
      <c r="F231" s="16"/>
      <c r="G231" s="16"/>
      <c r="H231" s="16"/>
    </row>
    <row r="232" spans="1:8" x14ac:dyDescent="0.25">
      <c r="A232" s="16"/>
      <c r="B232" s="16"/>
      <c r="C232" s="16"/>
      <c r="D232" s="16"/>
      <c r="E232" s="16"/>
      <c r="F232" s="16"/>
      <c r="G232" s="16"/>
      <c r="H232" s="16"/>
    </row>
    <row r="233" spans="1:8" x14ac:dyDescent="0.25">
      <c r="A233" s="16"/>
      <c r="B233" s="16"/>
      <c r="C233" s="16"/>
      <c r="D233" s="16"/>
      <c r="E233" s="16"/>
      <c r="F233" s="16"/>
      <c r="G233" s="16"/>
      <c r="H233" s="16"/>
    </row>
    <row r="234" spans="1:8" x14ac:dyDescent="0.25">
      <c r="A234" s="16"/>
      <c r="B234" s="16"/>
      <c r="C234" s="16"/>
      <c r="D234" s="16"/>
      <c r="E234" s="16"/>
      <c r="F234" s="16"/>
      <c r="G234" s="16"/>
      <c r="H234" s="16"/>
    </row>
    <row r="235" spans="1:8" x14ac:dyDescent="0.25">
      <c r="A235" s="16"/>
      <c r="B235" s="16"/>
      <c r="C235" s="16"/>
      <c r="D235" s="16"/>
      <c r="E235" s="16"/>
      <c r="F235" s="16"/>
      <c r="G235" s="16"/>
      <c r="H235" s="16"/>
    </row>
    <row r="236" spans="1:8" x14ac:dyDescent="0.25">
      <c r="A236" s="16"/>
      <c r="B236" s="16"/>
      <c r="C236" s="16"/>
      <c r="D236" s="16"/>
      <c r="E236" s="16"/>
      <c r="F236" s="16"/>
      <c r="G236" s="16"/>
      <c r="H236" s="16"/>
    </row>
    <row r="237" spans="1:8" x14ac:dyDescent="0.25">
      <c r="A237" s="16"/>
      <c r="B237" s="16"/>
      <c r="C237" s="16"/>
      <c r="D237" s="16"/>
      <c r="E237" s="16"/>
      <c r="F237" s="16"/>
      <c r="G237" s="16"/>
      <c r="H237" s="16"/>
    </row>
    <row r="238" spans="1:8" x14ac:dyDescent="0.25">
      <c r="A238" s="16"/>
      <c r="B238" s="16"/>
      <c r="C238" s="16"/>
      <c r="D238" s="16"/>
      <c r="E238" s="16"/>
      <c r="F238" s="16"/>
      <c r="G238" s="16"/>
      <c r="H238" s="16"/>
    </row>
    <row r="239" spans="1:8" x14ac:dyDescent="0.25">
      <c r="A239" s="16"/>
      <c r="B239" s="16"/>
      <c r="C239" s="16"/>
      <c r="D239" s="16"/>
      <c r="E239" s="16"/>
      <c r="F239" s="16"/>
      <c r="G239" s="16"/>
      <c r="H239" s="16"/>
    </row>
    <row r="240" spans="1:8" x14ac:dyDescent="0.25">
      <c r="A240" s="16"/>
      <c r="B240" s="16"/>
      <c r="C240" s="16"/>
      <c r="D240" s="16"/>
      <c r="E240" s="16"/>
      <c r="F240" s="16"/>
      <c r="G240" s="16"/>
      <c r="H240" s="16"/>
    </row>
    <row r="241" spans="1:8" x14ac:dyDescent="0.25">
      <c r="A241" s="16"/>
      <c r="B241" s="16"/>
      <c r="C241" s="16"/>
      <c r="D241" s="16"/>
      <c r="E241" s="16"/>
      <c r="F241" s="16"/>
      <c r="G241" s="16"/>
      <c r="H241" s="16"/>
    </row>
    <row r="242" spans="1:8" x14ac:dyDescent="0.25">
      <c r="A242" s="16"/>
      <c r="B242" s="16"/>
      <c r="C242" s="16"/>
      <c r="D242" s="16"/>
      <c r="E242" s="16"/>
      <c r="F242" s="16"/>
      <c r="G242" s="16"/>
      <c r="H242" s="16"/>
    </row>
    <row r="243" spans="1:8" x14ac:dyDescent="0.25">
      <c r="A243" s="16"/>
      <c r="B243" s="16"/>
      <c r="C243" s="16"/>
      <c r="D243" s="16"/>
      <c r="E243" s="16"/>
      <c r="F243" s="16"/>
      <c r="G243" s="16"/>
      <c r="H243" s="16"/>
    </row>
    <row r="244" spans="1:8" x14ac:dyDescent="0.25">
      <c r="A244" s="16"/>
      <c r="B244" s="16"/>
      <c r="C244" s="16"/>
      <c r="D244" s="16"/>
      <c r="E244" s="16"/>
      <c r="F244" s="16"/>
      <c r="G244" s="16"/>
      <c r="H244" s="16"/>
    </row>
    <row r="245" spans="1:8" x14ac:dyDescent="0.25">
      <c r="A245" s="16"/>
      <c r="B245" s="16"/>
      <c r="C245" s="16"/>
      <c r="D245" s="16"/>
      <c r="E245" s="16"/>
      <c r="F245" s="16"/>
      <c r="G245" s="16"/>
      <c r="H245" s="16"/>
    </row>
    <row r="246" spans="1:8" x14ac:dyDescent="0.25">
      <c r="A246" s="16"/>
      <c r="B246" s="16"/>
      <c r="C246" s="16"/>
      <c r="D246" s="16"/>
      <c r="E246" s="16"/>
      <c r="F246" s="16"/>
      <c r="G246" s="16"/>
      <c r="H246" s="16"/>
    </row>
    <row r="247" spans="1:8" x14ac:dyDescent="0.25">
      <c r="A247" s="16"/>
      <c r="B247" s="16"/>
      <c r="C247" s="16"/>
      <c r="D247" s="16"/>
      <c r="E247" s="16"/>
      <c r="F247" s="16"/>
      <c r="G247" s="16"/>
      <c r="H247" s="16"/>
    </row>
    <row r="248" spans="1:8" x14ac:dyDescent="0.25">
      <c r="A248" s="16"/>
      <c r="B248" s="16"/>
      <c r="C248" s="16"/>
      <c r="D248" s="16"/>
      <c r="E248" s="16"/>
      <c r="F248" s="16"/>
      <c r="G248" s="16"/>
      <c r="H248" s="16"/>
    </row>
    <row r="249" spans="1:8" x14ac:dyDescent="0.25">
      <c r="A249" s="16"/>
      <c r="B249" s="16"/>
      <c r="C249" s="16"/>
      <c r="D249" s="16"/>
      <c r="E249" s="16"/>
      <c r="F249" s="16"/>
      <c r="G249" s="16"/>
      <c r="H249" s="16"/>
    </row>
    <row r="250" spans="1:8" x14ac:dyDescent="0.25">
      <c r="A250" s="16"/>
      <c r="B250" s="16"/>
      <c r="C250" s="16"/>
      <c r="D250" s="16"/>
      <c r="E250" s="16"/>
      <c r="F250" s="16"/>
      <c r="G250" s="16"/>
      <c r="H250" s="16"/>
    </row>
    <row r="251" spans="1:8" x14ac:dyDescent="0.25">
      <c r="A251" s="16"/>
      <c r="B251" s="16"/>
      <c r="C251" s="16"/>
      <c r="D251" s="16"/>
      <c r="E251" s="16"/>
      <c r="F251" s="16"/>
      <c r="G251" s="16"/>
      <c r="H251" s="16"/>
    </row>
    <row r="252" spans="1:8" x14ac:dyDescent="0.25">
      <c r="A252" s="16"/>
      <c r="B252" s="16"/>
      <c r="C252" s="16"/>
      <c r="D252" s="16"/>
      <c r="E252" s="16"/>
      <c r="F252" s="16"/>
      <c r="G252" s="16"/>
      <c r="H252" s="16"/>
    </row>
    <row r="253" spans="1:8" x14ac:dyDescent="0.25">
      <c r="A253" s="16"/>
      <c r="B253" s="16"/>
      <c r="C253" s="16"/>
      <c r="D253" s="16"/>
      <c r="E253" s="16"/>
      <c r="F253" s="16"/>
      <c r="G253" s="16"/>
      <c r="H253" s="16"/>
    </row>
    <row r="254" spans="1:8" x14ac:dyDescent="0.25">
      <c r="A254" s="16"/>
      <c r="B254" s="16"/>
      <c r="C254" s="16"/>
      <c r="D254" s="16"/>
      <c r="E254" s="16"/>
      <c r="F254" s="16"/>
      <c r="G254" s="16"/>
      <c r="H254" s="16"/>
    </row>
    <row r="255" spans="1:8" x14ac:dyDescent="0.25">
      <c r="A255" s="16"/>
      <c r="B255" s="16"/>
      <c r="C255" s="16"/>
      <c r="D255" s="16"/>
      <c r="E255" s="16"/>
      <c r="F255" s="16"/>
      <c r="G255" s="16"/>
      <c r="H255" s="16"/>
    </row>
    <row r="256" spans="1:8" x14ac:dyDescent="0.25">
      <c r="A256" s="16"/>
      <c r="B256" s="16"/>
      <c r="C256" s="16"/>
      <c r="D256" s="16"/>
      <c r="E256" s="16"/>
      <c r="F256" s="16"/>
      <c r="G256" s="16"/>
      <c r="H256" s="16"/>
    </row>
    <row r="257" spans="1:8" x14ac:dyDescent="0.25">
      <c r="A257" s="16"/>
      <c r="B257" s="16"/>
      <c r="C257" s="16"/>
      <c r="D257" s="16"/>
      <c r="E257" s="16"/>
      <c r="F257" s="16"/>
      <c r="G257" s="16"/>
      <c r="H257" s="16"/>
    </row>
    <row r="258" spans="1:8" x14ac:dyDescent="0.25">
      <c r="A258" s="16"/>
      <c r="B258" s="16"/>
      <c r="C258" s="16"/>
      <c r="D258" s="16"/>
      <c r="E258" s="16"/>
      <c r="F258" s="16"/>
      <c r="G258" s="16"/>
      <c r="H258" s="16"/>
    </row>
    <row r="259" spans="1:8" x14ac:dyDescent="0.25">
      <c r="A259" s="16"/>
      <c r="B259" s="16"/>
      <c r="C259" s="16"/>
      <c r="D259" s="16"/>
      <c r="E259" s="16"/>
      <c r="F259" s="16"/>
      <c r="G259" s="16"/>
      <c r="H259" s="16"/>
    </row>
    <row r="260" spans="1:8" x14ac:dyDescent="0.25">
      <c r="A260" s="16"/>
      <c r="B260" s="16"/>
      <c r="C260" s="16"/>
      <c r="D260" s="16"/>
      <c r="E260" s="16"/>
      <c r="F260" s="16"/>
      <c r="G260" s="16"/>
      <c r="H260" s="16"/>
    </row>
    <row r="261" spans="1:8" x14ac:dyDescent="0.25">
      <c r="A261" s="16"/>
      <c r="B261" s="16"/>
      <c r="C261" s="16"/>
      <c r="D261" s="16"/>
      <c r="E261" s="16"/>
      <c r="F261" s="16"/>
      <c r="G261" s="16"/>
      <c r="H261" s="16"/>
    </row>
    <row r="262" spans="1:8" x14ac:dyDescent="0.25">
      <c r="A262" s="16"/>
      <c r="B262" s="16"/>
      <c r="C262" s="16"/>
      <c r="D262" s="16"/>
      <c r="E262" s="16"/>
      <c r="F262" s="16"/>
      <c r="G262" s="16"/>
      <c r="H262" s="16"/>
    </row>
    <row r="263" spans="1:8" x14ac:dyDescent="0.25">
      <c r="A263" s="16"/>
      <c r="B263" s="16"/>
      <c r="C263" s="16"/>
      <c r="D263" s="16"/>
      <c r="E263" s="16"/>
      <c r="F263" s="16"/>
      <c r="G263" s="16"/>
      <c r="H263" s="16"/>
    </row>
    <row r="264" spans="1:8" x14ac:dyDescent="0.25">
      <c r="A264" s="16"/>
      <c r="B264" s="16"/>
      <c r="C264" s="16"/>
      <c r="D264" s="16"/>
      <c r="E264" s="16"/>
      <c r="F264" s="16"/>
      <c r="G264" s="16"/>
      <c r="H264" s="16"/>
    </row>
    <row r="265" spans="1:8" x14ac:dyDescent="0.25">
      <c r="A265" s="16"/>
      <c r="B265" s="16"/>
      <c r="C265" s="16"/>
      <c r="D265" s="16"/>
      <c r="E265" s="16"/>
      <c r="F265" s="16"/>
      <c r="G265" s="16"/>
      <c r="H265" s="16"/>
    </row>
    <row r="266" spans="1:8" x14ac:dyDescent="0.25">
      <c r="A266" s="16"/>
      <c r="B266" s="16"/>
      <c r="C266" s="16"/>
      <c r="D266" s="16"/>
      <c r="E266" s="16"/>
      <c r="F266" s="16"/>
      <c r="G266" s="16"/>
      <c r="H266" s="16"/>
    </row>
    <row r="267" spans="1:8" x14ac:dyDescent="0.25">
      <c r="A267" s="16"/>
      <c r="B267" s="16"/>
      <c r="C267" s="16"/>
      <c r="D267" s="16"/>
      <c r="E267" s="16"/>
      <c r="F267" s="16"/>
      <c r="G267" s="16"/>
      <c r="H267" s="16"/>
    </row>
    <row r="268" spans="1:8" x14ac:dyDescent="0.25">
      <c r="A268" s="16"/>
      <c r="B268" s="16"/>
      <c r="C268" s="16"/>
      <c r="D268" s="16"/>
      <c r="E268" s="16"/>
      <c r="F268" s="16"/>
      <c r="G268" s="16"/>
      <c r="H268" s="16"/>
    </row>
    <row r="269" spans="1:8" x14ac:dyDescent="0.25">
      <c r="A269" s="16"/>
      <c r="B269" s="16"/>
      <c r="C269" s="16"/>
      <c r="D269" s="16"/>
      <c r="E269" s="16"/>
      <c r="F269" s="16"/>
      <c r="G269" s="16"/>
      <c r="H269" s="16"/>
    </row>
    <row r="270" spans="1:8" x14ac:dyDescent="0.25">
      <c r="A270" s="16"/>
      <c r="B270" s="16"/>
      <c r="C270" s="16"/>
      <c r="D270" s="16"/>
      <c r="E270" s="16"/>
      <c r="F270" s="16"/>
      <c r="G270" s="16"/>
      <c r="H270" s="16"/>
    </row>
    <row r="271" spans="1:8" x14ac:dyDescent="0.25">
      <c r="A271" s="16"/>
      <c r="B271" s="16"/>
      <c r="C271" s="16"/>
      <c r="D271" s="16"/>
      <c r="E271" s="16"/>
      <c r="F271" s="16"/>
      <c r="G271" s="16"/>
      <c r="H271" s="16"/>
    </row>
    <row r="272" spans="1:8" x14ac:dyDescent="0.25">
      <c r="A272" s="16"/>
      <c r="B272" s="16"/>
      <c r="C272" s="16"/>
      <c r="D272" s="16"/>
      <c r="E272" s="16"/>
      <c r="F272" s="16"/>
      <c r="G272" s="16"/>
      <c r="H272" s="16"/>
    </row>
    <row r="273" spans="1:8" x14ac:dyDescent="0.25">
      <c r="A273" s="16"/>
      <c r="B273" s="16"/>
      <c r="C273" s="16"/>
      <c r="D273" s="16"/>
      <c r="E273" s="16"/>
      <c r="F273" s="16"/>
      <c r="G273" s="16"/>
      <c r="H273" s="16"/>
    </row>
    <row r="274" spans="1:8" x14ac:dyDescent="0.25">
      <c r="A274" s="16"/>
      <c r="B274" s="16"/>
      <c r="C274" s="16"/>
      <c r="D274" s="16"/>
      <c r="E274" s="16"/>
      <c r="F274" s="16"/>
      <c r="G274" s="16"/>
      <c r="H274" s="16"/>
    </row>
    <row r="275" spans="1:8" x14ac:dyDescent="0.25">
      <c r="A275" s="16"/>
      <c r="B275" s="16"/>
      <c r="C275" s="16"/>
      <c r="D275" s="16"/>
      <c r="E275" s="16"/>
      <c r="F275" s="16"/>
      <c r="G275" s="16"/>
      <c r="H275" s="16"/>
    </row>
    <row r="276" spans="1:8" x14ac:dyDescent="0.25">
      <c r="A276" s="16"/>
      <c r="B276" s="16"/>
      <c r="C276" s="16"/>
      <c r="D276" s="16"/>
      <c r="E276" s="16"/>
      <c r="F276" s="16"/>
      <c r="G276" s="16"/>
      <c r="H276" s="16"/>
    </row>
    <row r="277" spans="1:8" x14ac:dyDescent="0.25">
      <c r="A277" s="16"/>
      <c r="B277" s="16"/>
      <c r="C277" s="16"/>
      <c r="D277" s="16"/>
      <c r="E277" s="16"/>
      <c r="F277" s="16"/>
      <c r="G277" s="16"/>
      <c r="H277" s="16"/>
    </row>
    <row r="278" spans="1:8" x14ac:dyDescent="0.25">
      <c r="A278" s="16"/>
      <c r="B278" s="16"/>
      <c r="C278" s="16"/>
      <c r="D278" s="16"/>
      <c r="E278" s="16"/>
      <c r="F278" s="16"/>
      <c r="G278" s="16"/>
      <c r="H278" s="16"/>
    </row>
    <row r="279" spans="1:8" x14ac:dyDescent="0.25">
      <c r="A279" s="16"/>
      <c r="B279" s="16"/>
      <c r="C279" s="16"/>
      <c r="D279" s="16"/>
      <c r="E279" s="16"/>
      <c r="F279" s="16"/>
      <c r="G279" s="16"/>
      <c r="H279" s="16"/>
    </row>
    <row r="280" spans="1:8" x14ac:dyDescent="0.25">
      <c r="A280" s="16"/>
      <c r="B280" s="16"/>
      <c r="C280" s="16"/>
      <c r="D280" s="16"/>
      <c r="E280" s="16"/>
      <c r="F280" s="16"/>
      <c r="G280" s="16"/>
      <c r="H280" s="16"/>
    </row>
    <row r="281" spans="1:8" x14ac:dyDescent="0.25">
      <c r="A281" s="16"/>
      <c r="B281" s="16"/>
      <c r="C281" s="16"/>
      <c r="D281" s="16"/>
      <c r="E281" s="16"/>
      <c r="F281" s="16"/>
      <c r="G281" s="16"/>
      <c r="H281" s="16"/>
    </row>
    <row r="282" spans="1:8" x14ac:dyDescent="0.25">
      <c r="A282" s="16"/>
      <c r="B282" s="16"/>
      <c r="C282" s="16"/>
      <c r="D282" s="16"/>
      <c r="E282" s="16"/>
      <c r="F282" s="16"/>
      <c r="G282" s="16"/>
      <c r="H282" s="16"/>
    </row>
    <row r="283" spans="1:8" x14ac:dyDescent="0.25">
      <c r="A283" s="16"/>
      <c r="B283" s="16"/>
      <c r="C283" s="16"/>
      <c r="D283" s="16"/>
      <c r="E283" s="16"/>
      <c r="F283" s="16"/>
      <c r="G283" s="16"/>
      <c r="H283" s="16"/>
    </row>
    <row r="284" spans="1:8" x14ac:dyDescent="0.25">
      <c r="A284" s="16"/>
      <c r="B284" s="16"/>
      <c r="C284" s="16"/>
      <c r="D284" s="16"/>
      <c r="E284" s="16"/>
      <c r="F284" s="16"/>
      <c r="G284" s="16"/>
      <c r="H284" s="16"/>
    </row>
    <row r="285" spans="1:8" x14ac:dyDescent="0.25">
      <c r="A285" s="16"/>
      <c r="B285" s="16"/>
      <c r="C285" s="16"/>
      <c r="D285" s="16"/>
      <c r="E285" s="16"/>
      <c r="F285" s="16"/>
      <c r="G285" s="16"/>
      <c r="H285" s="16"/>
    </row>
    <row r="286" spans="1:8" x14ac:dyDescent="0.25">
      <c r="A286" s="16"/>
      <c r="B286" s="16"/>
      <c r="C286" s="16"/>
      <c r="D286" s="16"/>
      <c r="E286" s="16"/>
      <c r="F286" s="16"/>
      <c r="G286" s="16"/>
      <c r="H286" s="16"/>
    </row>
    <row r="287" spans="1:8" x14ac:dyDescent="0.25">
      <c r="A287" s="16"/>
      <c r="B287" s="16"/>
      <c r="C287" s="16"/>
      <c r="D287" s="16"/>
      <c r="E287" s="16"/>
      <c r="F287" s="16"/>
      <c r="G287" s="16"/>
      <c r="H287" s="16"/>
    </row>
    <row r="288" spans="1:8" x14ac:dyDescent="0.25">
      <c r="A288" s="16"/>
      <c r="B288" s="16"/>
      <c r="C288" s="16"/>
      <c r="D288" s="16"/>
      <c r="E288" s="16"/>
      <c r="F288" s="16"/>
      <c r="G288" s="16"/>
      <c r="H288" s="16"/>
    </row>
    <row r="289" spans="1:8" x14ac:dyDescent="0.25">
      <c r="A289" s="16"/>
      <c r="B289" s="16"/>
      <c r="C289" s="16"/>
      <c r="D289" s="16"/>
      <c r="E289" s="16"/>
      <c r="F289" s="16"/>
      <c r="G289" s="16"/>
      <c r="H289" s="16"/>
    </row>
    <row r="290" spans="1:8" x14ac:dyDescent="0.25">
      <c r="A290" s="16"/>
      <c r="B290" s="16"/>
      <c r="C290" s="16"/>
      <c r="D290" s="16"/>
      <c r="E290" s="16"/>
      <c r="F290" s="16"/>
      <c r="G290" s="16"/>
      <c r="H290" s="16"/>
    </row>
    <row r="291" spans="1:8" x14ac:dyDescent="0.25">
      <c r="A291" s="16"/>
      <c r="B291" s="16"/>
      <c r="C291" s="16"/>
      <c r="D291" s="16"/>
      <c r="E291" s="16"/>
      <c r="F291" s="16"/>
      <c r="G291" s="16"/>
      <c r="H291" s="16"/>
    </row>
    <row r="292" spans="1:8" x14ac:dyDescent="0.25">
      <c r="A292" s="16"/>
      <c r="B292" s="16"/>
      <c r="C292" s="16"/>
      <c r="D292" s="16"/>
      <c r="E292" s="16"/>
      <c r="F292" s="16"/>
      <c r="G292" s="16"/>
      <c r="H292" s="16"/>
    </row>
    <row r="293" spans="1:8" x14ac:dyDescent="0.25">
      <c r="A293" s="16"/>
      <c r="B293" s="16"/>
      <c r="C293" s="16"/>
      <c r="D293" s="16"/>
      <c r="E293" s="16"/>
      <c r="F293" s="16"/>
      <c r="G293" s="16"/>
      <c r="H293" s="16"/>
    </row>
    <row r="294" spans="1:8" x14ac:dyDescent="0.25">
      <c r="A294" s="16"/>
      <c r="B294" s="16"/>
      <c r="C294" s="16"/>
      <c r="D294" s="16"/>
      <c r="E294" s="16"/>
      <c r="F294" s="16"/>
      <c r="G294" s="16"/>
      <c r="H294" s="16"/>
    </row>
    <row r="295" spans="1:8" x14ac:dyDescent="0.25">
      <c r="A295" s="16"/>
      <c r="B295" s="16"/>
      <c r="C295" s="16"/>
      <c r="D295" s="16"/>
      <c r="E295" s="16"/>
      <c r="F295" s="16"/>
      <c r="G295" s="16"/>
      <c r="H295" s="16"/>
    </row>
    <row r="296" spans="1:8" x14ac:dyDescent="0.25">
      <c r="A296" s="16"/>
      <c r="B296" s="16"/>
      <c r="C296" s="16"/>
      <c r="D296" s="16"/>
      <c r="E296" s="16"/>
      <c r="F296" s="16"/>
      <c r="G296" s="16"/>
      <c r="H296" s="16"/>
    </row>
    <row r="297" spans="1:8" x14ac:dyDescent="0.25">
      <c r="A297" s="16"/>
      <c r="B297" s="16"/>
      <c r="C297" s="16"/>
      <c r="D297" s="16"/>
      <c r="E297" s="16"/>
      <c r="F297" s="16"/>
      <c r="G297" s="16"/>
      <c r="H297" s="16"/>
    </row>
    <row r="298" spans="1:8" x14ac:dyDescent="0.25">
      <c r="A298" s="16"/>
      <c r="B298" s="16"/>
      <c r="C298" s="16"/>
      <c r="D298" s="16"/>
      <c r="E298" s="16"/>
      <c r="F298" s="16"/>
      <c r="G298" s="16"/>
      <c r="H298" s="16"/>
    </row>
    <row r="299" spans="1:8" x14ac:dyDescent="0.25">
      <c r="A299" s="16"/>
      <c r="B299" s="16"/>
      <c r="C299" s="16"/>
      <c r="D299" s="16"/>
      <c r="E299" s="16"/>
      <c r="F299" s="16"/>
      <c r="G299" s="16"/>
      <c r="H299" s="16"/>
    </row>
    <row r="300" spans="1:8" x14ac:dyDescent="0.25">
      <c r="A300" s="16"/>
      <c r="B300" s="16"/>
      <c r="C300" s="16"/>
      <c r="D300" s="16"/>
      <c r="E300" s="16"/>
      <c r="F300" s="16"/>
      <c r="G300" s="16"/>
      <c r="H300" s="16"/>
    </row>
    <row r="301" spans="1:8" x14ac:dyDescent="0.25">
      <c r="A301" s="16"/>
      <c r="B301" s="16"/>
      <c r="C301" s="16"/>
      <c r="D301" s="16"/>
      <c r="E301" s="16"/>
      <c r="F301" s="16"/>
      <c r="G301" s="16"/>
      <c r="H301" s="16"/>
    </row>
  </sheetData>
  <autoFilter ref="A1:H301" xr:uid="{00000000-0009-0000-0000-000004000000}"/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errorTitle="Valeur inconnue" error="Choisis une valeur de la liste." xr:uid="{00000000-0002-0000-0400-000000000000}">
          <x14:formula1>
            <xm:f>Mouvements!$A$2:$A$301</xm:f>
          </x14:formula1>
          <x14:formula2>
            <xm:f>0</xm:f>
          </x14:formula2>
          <xm:sqref>F2:F301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301"/>
  <sheetViews>
    <sheetView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ColWidth="8.7109375" defaultRowHeight="15" x14ac:dyDescent="0.25"/>
  <cols>
    <col min="1" max="1" width="22" customWidth="1"/>
    <col min="2" max="2" width="12" customWidth="1"/>
    <col min="3" max="3" width="20" customWidth="1"/>
    <col min="4" max="4" width="12" customWidth="1"/>
    <col min="5" max="5" width="20" customWidth="1"/>
    <col min="6" max="6" width="14" customWidth="1"/>
    <col min="7" max="7" width="56" customWidth="1"/>
    <col min="8" max="8" width="30" customWidth="1"/>
  </cols>
  <sheetData>
    <row r="1" spans="1:8" ht="33.75" customHeight="1" x14ac:dyDescent="0.25">
      <c r="A1" s="13" t="s">
        <v>30</v>
      </c>
      <c r="B1" s="13" t="s">
        <v>619</v>
      </c>
      <c r="C1" s="15" t="s">
        <v>620</v>
      </c>
      <c r="D1" s="13" t="s">
        <v>621</v>
      </c>
      <c r="E1" s="15" t="s">
        <v>622</v>
      </c>
      <c r="F1" s="13" t="s">
        <v>235</v>
      </c>
      <c r="G1" s="14" t="s">
        <v>623</v>
      </c>
      <c r="H1" s="13" t="s">
        <v>40</v>
      </c>
    </row>
    <row r="2" spans="1:8" x14ac:dyDescent="0.25">
      <c r="A2" s="16" t="s">
        <v>624</v>
      </c>
      <c r="B2" s="16" t="s">
        <v>120</v>
      </c>
      <c r="C2" s="18" t="str">
        <f>IF(B2="","",IFERROR(INDEX(Artistes!$B$2:$B$301,MATCH(B2,Artistes!$A$2:$A$301,0)),"ID inconnu"))</f>
        <v>Paul Cézanne</v>
      </c>
      <c r="D2" s="16" t="s">
        <v>139</v>
      </c>
      <c r="E2" s="18" t="str">
        <f>IF(D2="","",IFERROR(INDEX(Artistes!$B$2:$B$301,MATCH(D2,Artistes!$A$2:$A$301,0)),"ID inconnu"))</f>
        <v>Pablo Picasso</v>
      </c>
      <c r="F2" s="16" t="s">
        <v>625</v>
      </c>
      <c r="G2" s="16"/>
      <c r="H2" s="16"/>
    </row>
    <row r="3" spans="1:8" x14ac:dyDescent="0.25">
      <c r="A3" s="16" t="s">
        <v>626</v>
      </c>
      <c r="B3" s="16" t="s">
        <v>120</v>
      </c>
      <c r="C3" s="18" t="str">
        <f>IF(B3="","",IFERROR(INDEX(Artistes!$B$2:$B$301,MATCH(B3,Artistes!$A$2:$A$301,0)),"ID inconnu"))</f>
        <v>Paul Cézanne</v>
      </c>
      <c r="D3" s="16" t="s">
        <v>144</v>
      </c>
      <c r="E3" s="18" t="str">
        <f>IF(D3="","",IFERROR(INDEX(Artistes!$B$2:$B$301,MATCH(D3,Artistes!$A$2:$A$301,0)),"ID inconnu"))</f>
        <v>Georges Braque</v>
      </c>
      <c r="F3" s="16" t="s">
        <v>625</v>
      </c>
      <c r="G3" s="16"/>
      <c r="H3" s="16"/>
    </row>
    <row r="4" spans="1:8" x14ac:dyDescent="0.25">
      <c r="A4" s="16" t="s">
        <v>627</v>
      </c>
      <c r="B4" s="16" t="s">
        <v>116</v>
      </c>
      <c r="C4" s="18" t="str">
        <f>IF(B4="","",IFERROR(INDEX(Artistes!$B$2:$B$301,MATCH(B4,Artistes!$A$2:$A$301,0)),"ID inconnu"))</f>
        <v>Vincent van Gogh</v>
      </c>
      <c r="D4" s="16" t="s">
        <v>136</v>
      </c>
      <c r="E4" s="18" t="str">
        <f>IF(D4="","",IFERROR(INDEX(Artistes!$B$2:$B$301,MATCH(D4,Artistes!$A$2:$A$301,0)),"ID inconnu"))</f>
        <v>Maurice de Vlaminck</v>
      </c>
      <c r="F4" s="16" t="s">
        <v>625</v>
      </c>
      <c r="G4" s="16"/>
      <c r="H4" s="16"/>
    </row>
    <row r="5" spans="1:8" x14ac:dyDescent="0.25">
      <c r="A5" s="16" t="s">
        <v>628</v>
      </c>
      <c r="B5" s="16" t="s">
        <v>116</v>
      </c>
      <c r="C5" s="18" t="str">
        <f>IF(B5="","",IFERROR(INDEX(Artistes!$B$2:$B$301,MATCH(B5,Artistes!$A$2:$A$301,0)),"ID inconnu"))</f>
        <v>Vincent van Gogh</v>
      </c>
      <c r="D5" s="16" t="s">
        <v>150</v>
      </c>
      <c r="E5" s="18" t="str">
        <f>IF(D5="","",IFERROR(INDEX(Artistes!$B$2:$B$301,MATCH(D5,Artistes!$A$2:$A$301,0)),"ID inconnu"))</f>
        <v>Ernst Ludwig Kirchner</v>
      </c>
      <c r="F5" s="16" t="s">
        <v>625</v>
      </c>
      <c r="G5" s="16"/>
      <c r="H5" s="16"/>
    </row>
    <row r="6" spans="1:8" x14ac:dyDescent="0.25">
      <c r="A6" s="16" t="s">
        <v>629</v>
      </c>
      <c r="B6" s="16" t="s">
        <v>123</v>
      </c>
      <c r="C6" s="18" t="str">
        <f>IF(B6="","",IFERROR(INDEX(Artistes!$B$2:$B$301,MATCH(B6,Artistes!$A$2:$A$301,0)),"ID inconnu"))</f>
        <v>Paul Gauguin</v>
      </c>
      <c r="D6" s="16" t="s">
        <v>130</v>
      </c>
      <c r="E6" s="18" t="str">
        <f>IF(D6="","",IFERROR(INDEX(Artistes!$B$2:$B$301,MATCH(D6,Artistes!$A$2:$A$301,0)),"ID inconnu"))</f>
        <v>Henri Matisse</v>
      </c>
      <c r="F6" s="16" t="s">
        <v>625</v>
      </c>
      <c r="G6" s="16"/>
      <c r="H6" s="16"/>
    </row>
    <row r="7" spans="1:8" x14ac:dyDescent="0.25">
      <c r="A7" s="16" t="s">
        <v>630</v>
      </c>
      <c r="B7" s="16" t="s">
        <v>130</v>
      </c>
      <c r="C7" s="18" t="str">
        <f>IF(B7="","",IFERROR(INDEX(Artistes!$B$2:$B$301,MATCH(B7,Artistes!$A$2:$A$301,0)),"ID inconnu"))</f>
        <v>Henri Matisse</v>
      </c>
      <c r="D7" s="16" t="s">
        <v>133</v>
      </c>
      <c r="E7" s="18" t="str">
        <f>IF(D7="","",IFERROR(INDEX(Artistes!$B$2:$B$301,MATCH(D7,Artistes!$A$2:$A$301,0)),"ID inconnu"))</f>
        <v>André Derain</v>
      </c>
      <c r="F7" s="16" t="s">
        <v>631</v>
      </c>
      <c r="G7" s="16"/>
      <c r="H7" s="16"/>
    </row>
    <row r="8" spans="1:8" x14ac:dyDescent="0.25">
      <c r="A8" s="16" t="s">
        <v>632</v>
      </c>
      <c r="B8" s="16" t="s">
        <v>139</v>
      </c>
      <c r="C8" s="18" t="str">
        <f>IF(B8="","",IFERROR(INDEX(Artistes!$B$2:$B$301,MATCH(B8,Artistes!$A$2:$A$301,0)),"ID inconnu"))</f>
        <v>Pablo Picasso</v>
      </c>
      <c r="D8" s="16" t="s">
        <v>144</v>
      </c>
      <c r="E8" s="18" t="str">
        <f>IF(D8="","",IFERROR(INDEX(Artistes!$B$2:$B$301,MATCH(D8,Artistes!$A$2:$A$301,0)),"ID inconnu"))</f>
        <v>Georges Braque</v>
      </c>
      <c r="F8" s="16" t="s">
        <v>631</v>
      </c>
      <c r="G8" s="16"/>
      <c r="H8" s="16"/>
    </row>
    <row r="9" spans="1:8" x14ac:dyDescent="0.25">
      <c r="A9" s="16" t="s">
        <v>633</v>
      </c>
      <c r="B9" s="16" t="s">
        <v>97</v>
      </c>
      <c r="C9" s="18" t="str">
        <f>IF(B9="","",IFERROR(INDEX(Artistes!$B$2:$B$301,MATCH(B9,Artistes!$A$2:$A$301,0)),"ID inconnu"))</f>
        <v>Claude Monet</v>
      </c>
      <c r="D9" s="16" t="s">
        <v>163</v>
      </c>
      <c r="E9" s="18" t="str">
        <f>IF(D9="","",IFERROR(INDEX(Artistes!$B$2:$B$301,MATCH(D9,Artistes!$A$2:$A$301,0)),"ID inconnu"))</f>
        <v>Vassily Kandinsky</v>
      </c>
      <c r="F9" s="16" t="s">
        <v>625</v>
      </c>
      <c r="G9" s="16"/>
      <c r="H9" s="16"/>
    </row>
    <row r="10" spans="1:8" x14ac:dyDescent="0.25">
      <c r="A10" s="16" t="s">
        <v>634</v>
      </c>
      <c r="B10" s="16" t="s">
        <v>163</v>
      </c>
      <c r="C10" s="18" t="str">
        <f>IF(B10="","",IFERROR(INDEX(Artistes!$B$2:$B$301,MATCH(B10,Artistes!$A$2:$A$301,0)),"ID inconnu"))</f>
        <v>Vassily Kandinsky</v>
      </c>
      <c r="D10" s="16" t="s">
        <v>160</v>
      </c>
      <c r="E10" s="18" t="str">
        <f>IF(D10="","",IFERROR(INDEX(Artistes!$B$2:$B$301,MATCH(D10,Artistes!$A$2:$A$301,0)),"ID inconnu"))</f>
        <v>Franz Marc</v>
      </c>
      <c r="F10" s="16" t="s">
        <v>631</v>
      </c>
      <c r="G10" s="16"/>
      <c r="H10" s="16"/>
    </row>
    <row r="11" spans="1:8" x14ac:dyDescent="0.25">
      <c r="A11" s="16" t="s">
        <v>635</v>
      </c>
      <c r="B11" s="16" t="s">
        <v>190</v>
      </c>
      <c r="C11" s="18" t="str">
        <f>IF(B11="","",IFERROR(INDEX(Artistes!$B$2:$B$301,MATCH(B11,Artistes!$A$2:$A$301,0)),"ID inconnu"))</f>
        <v>Francis Picabia</v>
      </c>
      <c r="D11" s="16" t="s">
        <v>193</v>
      </c>
      <c r="E11" s="18" t="str">
        <f>IF(D11="","",IFERROR(INDEX(Artistes!$B$2:$B$301,MATCH(D11,Artistes!$A$2:$A$301,0)),"ID inconnu"))</f>
        <v>Marcel Duchamp</v>
      </c>
      <c r="F11" s="16" t="s">
        <v>631</v>
      </c>
      <c r="G11" s="16"/>
      <c r="H11" s="16"/>
    </row>
    <row r="12" spans="1:8" x14ac:dyDescent="0.25">
      <c r="A12" s="16" t="s">
        <v>636</v>
      </c>
      <c r="B12" s="16" t="s">
        <v>179</v>
      </c>
      <c r="C12" s="18" t="str">
        <f>IF(B12="","",IFERROR(INDEX(Artistes!$B$2:$B$301,MATCH(B12,Artistes!$A$2:$A$301,0)),"ID inconnu"))</f>
        <v>Tristan Tzara</v>
      </c>
      <c r="D12" s="16" t="s">
        <v>199</v>
      </c>
      <c r="E12" s="18" t="str">
        <f>IF(D12="","",IFERROR(INDEX(Artistes!$B$2:$B$301,MATCH(D12,Artistes!$A$2:$A$301,0)),"ID inconnu"))</f>
        <v>André Breton</v>
      </c>
      <c r="F12" s="16" t="s">
        <v>637</v>
      </c>
      <c r="G12" s="16"/>
      <c r="H12" s="16"/>
    </row>
    <row r="13" spans="1:8" x14ac:dyDescent="0.25">
      <c r="A13" s="16" t="s">
        <v>638</v>
      </c>
      <c r="B13" s="16" t="s">
        <v>130</v>
      </c>
      <c r="C13" s="18" t="str">
        <f>IF(B13="","",IFERROR(INDEX(Artistes!$B$2:$B$301,MATCH(B13,Artistes!$A$2:$A$301,0)),"ID inconnu"))</f>
        <v>Henri Matisse</v>
      </c>
      <c r="D13" s="16" t="s">
        <v>217</v>
      </c>
      <c r="E13" s="18" t="str">
        <f>IF(D13="","",IFERROR(INDEX(Artistes!$B$2:$B$301,MATCH(D13,Artistes!$A$2:$A$301,0)),"ID inconnu"))</f>
        <v>Mark Rothko</v>
      </c>
      <c r="F13" s="16" t="s">
        <v>625</v>
      </c>
      <c r="G13" s="16"/>
      <c r="H13" s="16"/>
    </row>
    <row r="14" spans="1:8" x14ac:dyDescent="0.25">
      <c r="A14" s="16"/>
      <c r="B14" s="16"/>
      <c r="C14" s="18" t="str">
        <f>IF(B14="","",IFERROR(INDEX(Artistes!$B$2:$B$301,MATCH(B14,Artistes!$A$2:$A$301,0)),"ID inconnu"))</f>
        <v/>
      </c>
      <c r="D14" s="16"/>
      <c r="E14" s="18" t="str">
        <f>IF(D14="","",IFERROR(INDEX(Artistes!$B$2:$B$301,MATCH(D14,Artistes!$A$2:$A$301,0)),"ID inconnu"))</f>
        <v/>
      </c>
      <c r="F14" s="16"/>
      <c r="G14" s="16"/>
      <c r="H14" s="16"/>
    </row>
    <row r="15" spans="1:8" x14ac:dyDescent="0.25">
      <c r="A15" s="16"/>
      <c r="B15" s="16"/>
      <c r="C15" s="18" t="str">
        <f>IF(B15="","",IFERROR(INDEX(Artistes!$B$2:$B$301,MATCH(B15,Artistes!$A$2:$A$301,0)),"ID inconnu"))</f>
        <v/>
      </c>
      <c r="D15" s="16"/>
      <c r="E15" s="18" t="str">
        <f>IF(D15="","",IFERROR(INDEX(Artistes!$B$2:$B$301,MATCH(D15,Artistes!$A$2:$A$301,0)),"ID inconnu"))</f>
        <v/>
      </c>
      <c r="F15" s="16"/>
      <c r="G15" s="16"/>
      <c r="H15" s="16"/>
    </row>
    <row r="16" spans="1:8" x14ac:dyDescent="0.25">
      <c r="A16" s="16"/>
      <c r="B16" s="16"/>
      <c r="C16" s="18" t="str">
        <f>IF(B16="","",IFERROR(INDEX(Artistes!$B$2:$B$301,MATCH(B16,Artistes!$A$2:$A$301,0)),"ID inconnu"))</f>
        <v/>
      </c>
      <c r="D16" s="16"/>
      <c r="E16" s="18" t="str">
        <f>IF(D16="","",IFERROR(INDEX(Artistes!$B$2:$B$301,MATCH(D16,Artistes!$A$2:$A$301,0)),"ID inconnu"))</f>
        <v/>
      </c>
      <c r="F16" s="16"/>
      <c r="G16" s="16"/>
      <c r="H16" s="16"/>
    </row>
    <row r="17" spans="1:8" x14ac:dyDescent="0.25">
      <c r="A17" s="16"/>
      <c r="B17" s="16"/>
      <c r="C17" s="18" t="str">
        <f>IF(B17="","",IFERROR(INDEX(Artistes!$B$2:$B$301,MATCH(B17,Artistes!$A$2:$A$301,0)),"ID inconnu"))</f>
        <v/>
      </c>
      <c r="D17" s="16"/>
      <c r="E17" s="18" t="str">
        <f>IF(D17="","",IFERROR(INDEX(Artistes!$B$2:$B$301,MATCH(D17,Artistes!$A$2:$A$301,0)),"ID inconnu"))</f>
        <v/>
      </c>
      <c r="F17" s="16"/>
      <c r="G17" s="16"/>
      <c r="H17" s="16"/>
    </row>
    <row r="18" spans="1:8" x14ac:dyDescent="0.25">
      <c r="A18" s="16"/>
      <c r="B18" s="16"/>
      <c r="C18" s="18" t="str">
        <f>IF(B18="","",IFERROR(INDEX(Artistes!$B$2:$B$301,MATCH(B18,Artistes!$A$2:$A$301,0)),"ID inconnu"))</f>
        <v/>
      </c>
      <c r="D18" s="16"/>
      <c r="E18" s="18" t="str">
        <f>IF(D18="","",IFERROR(INDEX(Artistes!$B$2:$B$301,MATCH(D18,Artistes!$A$2:$A$301,0)),"ID inconnu"))</f>
        <v/>
      </c>
      <c r="F18" s="16"/>
      <c r="G18" s="16"/>
      <c r="H18" s="16"/>
    </row>
    <row r="19" spans="1:8" x14ac:dyDescent="0.25">
      <c r="A19" s="16"/>
      <c r="B19" s="16"/>
      <c r="C19" s="18" t="str">
        <f>IF(B19="","",IFERROR(INDEX(Artistes!$B$2:$B$301,MATCH(B19,Artistes!$A$2:$A$301,0)),"ID inconnu"))</f>
        <v/>
      </c>
      <c r="D19" s="16"/>
      <c r="E19" s="18" t="str">
        <f>IF(D19="","",IFERROR(INDEX(Artistes!$B$2:$B$301,MATCH(D19,Artistes!$A$2:$A$301,0)),"ID inconnu"))</f>
        <v/>
      </c>
      <c r="F19" s="16"/>
      <c r="G19" s="16"/>
      <c r="H19" s="16"/>
    </row>
    <row r="20" spans="1:8" x14ac:dyDescent="0.25">
      <c r="A20" s="16"/>
      <c r="B20" s="16"/>
      <c r="C20" s="18" t="str">
        <f>IF(B20="","",IFERROR(INDEX(Artistes!$B$2:$B$301,MATCH(B20,Artistes!$A$2:$A$301,0)),"ID inconnu"))</f>
        <v/>
      </c>
      <c r="D20" s="16"/>
      <c r="E20" s="18" t="str">
        <f>IF(D20="","",IFERROR(INDEX(Artistes!$B$2:$B$301,MATCH(D20,Artistes!$A$2:$A$301,0)),"ID inconnu"))</f>
        <v/>
      </c>
      <c r="F20" s="16"/>
      <c r="G20" s="16"/>
      <c r="H20" s="16"/>
    </row>
    <row r="21" spans="1:8" x14ac:dyDescent="0.25">
      <c r="A21" s="16"/>
      <c r="B21" s="16"/>
      <c r="C21" s="18" t="str">
        <f>IF(B21="","",IFERROR(INDEX(Artistes!$B$2:$B$301,MATCH(B21,Artistes!$A$2:$A$301,0)),"ID inconnu"))</f>
        <v/>
      </c>
      <c r="D21" s="16"/>
      <c r="E21" s="18" t="str">
        <f>IF(D21="","",IFERROR(INDEX(Artistes!$B$2:$B$301,MATCH(D21,Artistes!$A$2:$A$301,0)),"ID inconnu"))</f>
        <v/>
      </c>
      <c r="F21" s="16"/>
      <c r="G21" s="16"/>
      <c r="H21" s="16"/>
    </row>
    <row r="22" spans="1:8" x14ac:dyDescent="0.25">
      <c r="A22" s="16"/>
      <c r="B22" s="16"/>
      <c r="C22" s="18" t="str">
        <f>IF(B22="","",IFERROR(INDEX(Artistes!$B$2:$B$301,MATCH(B22,Artistes!$A$2:$A$301,0)),"ID inconnu"))</f>
        <v/>
      </c>
      <c r="D22" s="16"/>
      <c r="E22" s="18" t="str">
        <f>IF(D22="","",IFERROR(INDEX(Artistes!$B$2:$B$301,MATCH(D22,Artistes!$A$2:$A$301,0)),"ID inconnu"))</f>
        <v/>
      </c>
      <c r="F22" s="16"/>
      <c r="G22" s="16"/>
      <c r="H22" s="16"/>
    </row>
    <row r="23" spans="1:8" x14ac:dyDescent="0.25">
      <c r="A23" s="16"/>
      <c r="B23" s="16"/>
      <c r="C23" s="18" t="str">
        <f>IF(B23="","",IFERROR(INDEX(Artistes!$B$2:$B$301,MATCH(B23,Artistes!$A$2:$A$301,0)),"ID inconnu"))</f>
        <v/>
      </c>
      <c r="D23" s="16"/>
      <c r="E23" s="18" t="str">
        <f>IF(D23="","",IFERROR(INDEX(Artistes!$B$2:$B$301,MATCH(D23,Artistes!$A$2:$A$301,0)),"ID inconnu"))</f>
        <v/>
      </c>
      <c r="F23" s="16"/>
      <c r="G23" s="16"/>
      <c r="H23" s="16"/>
    </row>
    <row r="24" spans="1:8" x14ac:dyDescent="0.25">
      <c r="A24" s="16"/>
      <c r="B24" s="16"/>
      <c r="C24" s="18" t="str">
        <f>IF(B24="","",IFERROR(INDEX(Artistes!$B$2:$B$301,MATCH(B24,Artistes!$A$2:$A$301,0)),"ID inconnu"))</f>
        <v/>
      </c>
      <c r="D24" s="16"/>
      <c r="E24" s="18" t="str">
        <f>IF(D24="","",IFERROR(INDEX(Artistes!$B$2:$B$301,MATCH(D24,Artistes!$A$2:$A$301,0)),"ID inconnu"))</f>
        <v/>
      </c>
      <c r="F24" s="16"/>
      <c r="G24" s="16"/>
      <c r="H24" s="16"/>
    </row>
    <row r="25" spans="1:8" x14ac:dyDescent="0.25">
      <c r="A25" s="16"/>
      <c r="B25" s="16"/>
      <c r="C25" s="18" t="str">
        <f>IF(B25="","",IFERROR(INDEX(Artistes!$B$2:$B$301,MATCH(B25,Artistes!$A$2:$A$301,0)),"ID inconnu"))</f>
        <v/>
      </c>
      <c r="D25" s="16"/>
      <c r="E25" s="18" t="str">
        <f>IF(D25="","",IFERROR(INDEX(Artistes!$B$2:$B$301,MATCH(D25,Artistes!$A$2:$A$301,0)),"ID inconnu"))</f>
        <v/>
      </c>
      <c r="F25" s="16"/>
      <c r="G25" s="16"/>
      <c r="H25" s="16"/>
    </row>
    <row r="26" spans="1:8" x14ac:dyDescent="0.25">
      <c r="A26" s="16"/>
      <c r="B26" s="16"/>
      <c r="C26" s="18" t="str">
        <f>IF(B26="","",IFERROR(INDEX(Artistes!$B$2:$B$301,MATCH(B26,Artistes!$A$2:$A$301,0)),"ID inconnu"))</f>
        <v/>
      </c>
      <c r="D26" s="16"/>
      <c r="E26" s="18" t="str">
        <f>IF(D26="","",IFERROR(INDEX(Artistes!$B$2:$B$301,MATCH(D26,Artistes!$A$2:$A$301,0)),"ID inconnu"))</f>
        <v/>
      </c>
      <c r="F26" s="16"/>
      <c r="G26" s="16"/>
      <c r="H26" s="16"/>
    </row>
    <row r="27" spans="1:8" x14ac:dyDescent="0.25">
      <c r="A27" s="16"/>
      <c r="B27" s="16"/>
      <c r="C27" s="18" t="str">
        <f>IF(B27="","",IFERROR(INDEX(Artistes!$B$2:$B$301,MATCH(B27,Artistes!$A$2:$A$301,0)),"ID inconnu"))</f>
        <v/>
      </c>
      <c r="D27" s="16"/>
      <c r="E27" s="18" t="str">
        <f>IF(D27="","",IFERROR(INDEX(Artistes!$B$2:$B$301,MATCH(D27,Artistes!$A$2:$A$301,0)),"ID inconnu"))</f>
        <v/>
      </c>
      <c r="F27" s="16"/>
      <c r="G27" s="16"/>
      <c r="H27" s="16"/>
    </row>
    <row r="28" spans="1:8" x14ac:dyDescent="0.25">
      <c r="A28" s="16"/>
      <c r="B28" s="16"/>
      <c r="C28" s="18" t="str">
        <f>IF(B28="","",IFERROR(INDEX(Artistes!$B$2:$B$301,MATCH(B28,Artistes!$A$2:$A$301,0)),"ID inconnu"))</f>
        <v/>
      </c>
      <c r="D28" s="16"/>
      <c r="E28" s="18" t="str">
        <f>IF(D28="","",IFERROR(INDEX(Artistes!$B$2:$B$301,MATCH(D28,Artistes!$A$2:$A$301,0)),"ID inconnu"))</f>
        <v/>
      </c>
      <c r="F28" s="16"/>
      <c r="G28" s="16"/>
      <c r="H28" s="16"/>
    </row>
    <row r="29" spans="1:8" x14ac:dyDescent="0.25">
      <c r="A29" s="16"/>
      <c r="B29" s="16"/>
      <c r="C29" s="18" t="str">
        <f>IF(B29="","",IFERROR(INDEX(Artistes!$B$2:$B$301,MATCH(B29,Artistes!$A$2:$A$301,0)),"ID inconnu"))</f>
        <v/>
      </c>
      <c r="D29" s="16"/>
      <c r="E29" s="18" t="str">
        <f>IF(D29="","",IFERROR(INDEX(Artistes!$B$2:$B$301,MATCH(D29,Artistes!$A$2:$A$301,0)),"ID inconnu"))</f>
        <v/>
      </c>
      <c r="F29" s="16"/>
      <c r="G29" s="16"/>
      <c r="H29" s="16"/>
    </row>
    <row r="30" spans="1:8" x14ac:dyDescent="0.25">
      <c r="A30" s="16"/>
      <c r="B30" s="16"/>
      <c r="C30" s="18" t="str">
        <f>IF(B30="","",IFERROR(INDEX(Artistes!$B$2:$B$301,MATCH(B30,Artistes!$A$2:$A$301,0)),"ID inconnu"))</f>
        <v/>
      </c>
      <c r="D30" s="16"/>
      <c r="E30" s="18" t="str">
        <f>IF(D30="","",IFERROR(INDEX(Artistes!$B$2:$B$301,MATCH(D30,Artistes!$A$2:$A$301,0)),"ID inconnu"))</f>
        <v/>
      </c>
      <c r="F30" s="16"/>
      <c r="G30" s="16"/>
      <c r="H30" s="16"/>
    </row>
    <row r="31" spans="1:8" x14ac:dyDescent="0.25">
      <c r="A31" s="16"/>
      <c r="B31" s="16"/>
      <c r="C31" s="18" t="str">
        <f>IF(B31="","",IFERROR(INDEX(Artistes!$B$2:$B$301,MATCH(B31,Artistes!$A$2:$A$301,0)),"ID inconnu"))</f>
        <v/>
      </c>
      <c r="D31" s="16"/>
      <c r="E31" s="18" t="str">
        <f>IF(D31="","",IFERROR(INDEX(Artistes!$B$2:$B$301,MATCH(D31,Artistes!$A$2:$A$301,0)),"ID inconnu"))</f>
        <v/>
      </c>
      <c r="F31" s="16"/>
      <c r="G31" s="16"/>
      <c r="H31" s="16"/>
    </row>
    <row r="32" spans="1:8" x14ac:dyDescent="0.25">
      <c r="A32" s="16"/>
      <c r="B32" s="16"/>
      <c r="C32" s="18" t="str">
        <f>IF(B32="","",IFERROR(INDEX(Artistes!$B$2:$B$301,MATCH(B32,Artistes!$A$2:$A$301,0)),"ID inconnu"))</f>
        <v/>
      </c>
      <c r="D32" s="16"/>
      <c r="E32" s="18" t="str">
        <f>IF(D32="","",IFERROR(INDEX(Artistes!$B$2:$B$301,MATCH(D32,Artistes!$A$2:$A$301,0)),"ID inconnu"))</f>
        <v/>
      </c>
      <c r="F32" s="16"/>
      <c r="G32" s="16"/>
      <c r="H32" s="16"/>
    </row>
    <row r="33" spans="1:8" x14ac:dyDescent="0.25">
      <c r="A33" s="16"/>
      <c r="B33" s="16"/>
      <c r="C33" s="18" t="str">
        <f>IF(B33="","",IFERROR(INDEX(Artistes!$B$2:$B$301,MATCH(B33,Artistes!$A$2:$A$301,0)),"ID inconnu"))</f>
        <v/>
      </c>
      <c r="D33" s="16"/>
      <c r="E33" s="18" t="str">
        <f>IF(D33="","",IFERROR(INDEX(Artistes!$B$2:$B$301,MATCH(D33,Artistes!$A$2:$A$301,0)),"ID inconnu"))</f>
        <v/>
      </c>
      <c r="F33" s="16"/>
      <c r="G33" s="16"/>
      <c r="H33" s="16"/>
    </row>
    <row r="34" spans="1:8" x14ac:dyDescent="0.25">
      <c r="A34" s="16"/>
      <c r="B34" s="16"/>
      <c r="C34" s="18" t="str">
        <f>IF(B34="","",IFERROR(INDEX(Artistes!$B$2:$B$301,MATCH(B34,Artistes!$A$2:$A$301,0)),"ID inconnu"))</f>
        <v/>
      </c>
      <c r="D34" s="16"/>
      <c r="E34" s="18" t="str">
        <f>IF(D34="","",IFERROR(INDEX(Artistes!$B$2:$B$301,MATCH(D34,Artistes!$A$2:$A$301,0)),"ID inconnu"))</f>
        <v/>
      </c>
      <c r="F34" s="16"/>
      <c r="G34" s="16"/>
      <c r="H34" s="16"/>
    </row>
    <row r="35" spans="1:8" x14ac:dyDescent="0.25">
      <c r="A35" s="16"/>
      <c r="B35" s="16"/>
      <c r="C35" s="18" t="str">
        <f>IF(B35="","",IFERROR(INDEX(Artistes!$B$2:$B$301,MATCH(B35,Artistes!$A$2:$A$301,0)),"ID inconnu"))</f>
        <v/>
      </c>
      <c r="D35" s="16"/>
      <c r="E35" s="18" t="str">
        <f>IF(D35="","",IFERROR(INDEX(Artistes!$B$2:$B$301,MATCH(D35,Artistes!$A$2:$A$301,0)),"ID inconnu"))</f>
        <v/>
      </c>
      <c r="F35" s="16"/>
      <c r="G35" s="16"/>
      <c r="H35" s="16"/>
    </row>
    <row r="36" spans="1:8" x14ac:dyDescent="0.25">
      <c r="A36" s="16"/>
      <c r="B36" s="16"/>
      <c r="C36" s="18" t="str">
        <f>IF(B36="","",IFERROR(INDEX(Artistes!$B$2:$B$301,MATCH(B36,Artistes!$A$2:$A$301,0)),"ID inconnu"))</f>
        <v/>
      </c>
      <c r="D36" s="16"/>
      <c r="E36" s="18" t="str">
        <f>IF(D36="","",IFERROR(INDEX(Artistes!$B$2:$B$301,MATCH(D36,Artistes!$A$2:$A$301,0)),"ID inconnu"))</f>
        <v/>
      </c>
      <c r="F36" s="16"/>
      <c r="G36" s="16"/>
      <c r="H36" s="16"/>
    </row>
    <row r="37" spans="1:8" x14ac:dyDescent="0.25">
      <c r="A37" s="16"/>
      <c r="B37" s="16"/>
      <c r="C37" s="18" t="str">
        <f>IF(B37="","",IFERROR(INDEX(Artistes!$B$2:$B$301,MATCH(B37,Artistes!$A$2:$A$301,0)),"ID inconnu"))</f>
        <v/>
      </c>
      <c r="D37" s="16"/>
      <c r="E37" s="18" t="str">
        <f>IF(D37="","",IFERROR(INDEX(Artistes!$B$2:$B$301,MATCH(D37,Artistes!$A$2:$A$301,0)),"ID inconnu"))</f>
        <v/>
      </c>
      <c r="F37" s="16"/>
      <c r="G37" s="16"/>
      <c r="H37" s="16"/>
    </row>
    <row r="38" spans="1:8" x14ac:dyDescent="0.25">
      <c r="A38" s="16"/>
      <c r="B38" s="16"/>
      <c r="C38" s="18" t="str">
        <f>IF(B38="","",IFERROR(INDEX(Artistes!$B$2:$B$301,MATCH(B38,Artistes!$A$2:$A$301,0)),"ID inconnu"))</f>
        <v/>
      </c>
      <c r="D38" s="16"/>
      <c r="E38" s="18" t="str">
        <f>IF(D38="","",IFERROR(INDEX(Artistes!$B$2:$B$301,MATCH(D38,Artistes!$A$2:$A$301,0)),"ID inconnu"))</f>
        <v/>
      </c>
      <c r="F38" s="16"/>
      <c r="G38" s="16"/>
      <c r="H38" s="16"/>
    </row>
    <row r="39" spans="1:8" x14ac:dyDescent="0.25">
      <c r="A39" s="16"/>
      <c r="B39" s="16"/>
      <c r="C39" s="18" t="str">
        <f>IF(B39="","",IFERROR(INDEX(Artistes!$B$2:$B$301,MATCH(B39,Artistes!$A$2:$A$301,0)),"ID inconnu"))</f>
        <v/>
      </c>
      <c r="D39" s="16"/>
      <c r="E39" s="18" t="str">
        <f>IF(D39="","",IFERROR(INDEX(Artistes!$B$2:$B$301,MATCH(D39,Artistes!$A$2:$A$301,0)),"ID inconnu"))</f>
        <v/>
      </c>
      <c r="F39" s="16"/>
      <c r="G39" s="16"/>
      <c r="H39" s="16"/>
    </row>
    <row r="40" spans="1:8" x14ac:dyDescent="0.25">
      <c r="A40" s="16"/>
      <c r="B40" s="16"/>
      <c r="C40" s="18" t="str">
        <f>IF(B40="","",IFERROR(INDEX(Artistes!$B$2:$B$301,MATCH(B40,Artistes!$A$2:$A$301,0)),"ID inconnu"))</f>
        <v/>
      </c>
      <c r="D40" s="16"/>
      <c r="E40" s="18" t="str">
        <f>IF(D40="","",IFERROR(INDEX(Artistes!$B$2:$B$301,MATCH(D40,Artistes!$A$2:$A$301,0)),"ID inconnu"))</f>
        <v/>
      </c>
      <c r="F40" s="16"/>
      <c r="G40" s="16"/>
      <c r="H40" s="16"/>
    </row>
    <row r="41" spans="1:8" x14ac:dyDescent="0.25">
      <c r="A41" s="16"/>
      <c r="B41" s="16"/>
      <c r="C41" s="18" t="str">
        <f>IF(B41="","",IFERROR(INDEX(Artistes!$B$2:$B$301,MATCH(B41,Artistes!$A$2:$A$301,0)),"ID inconnu"))</f>
        <v/>
      </c>
      <c r="D41" s="16"/>
      <c r="E41" s="18" t="str">
        <f>IF(D41="","",IFERROR(INDEX(Artistes!$B$2:$B$301,MATCH(D41,Artistes!$A$2:$A$301,0)),"ID inconnu"))</f>
        <v/>
      </c>
      <c r="F41" s="16"/>
      <c r="G41" s="16"/>
      <c r="H41" s="16"/>
    </row>
    <row r="42" spans="1:8" x14ac:dyDescent="0.25">
      <c r="A42" s="16"/>
      <c r="B42" s="16"/>
      <c r="C42" s="18" t="str">
        <f>IF(B42="","",IFERROR(INDEX(Artistes!$B$2:$B$301,MATCH(B42,Artistes!$A$2:$A$301,0)),"ID inconnu"))</f>
        <v/>
      </c>
      <c r="D42" s="16"/>
      <c r="E42" s="18" t="str">
        <f>IF(D42="","",IFERROR(INDEX(Artistes!$B$2:$B$301,MATCH(D42,Artistes!$A$2:$A$301,0)),"ID inconnu"))</f>
        <v/>
      </c>
      <c r="F42" s="16"/>
      <c r="G42" s="16"/>
      <c r="H42" s="16"/>
    </row>
    <row r="43" spans="1:8" x14ac:dyDescent="0.25">
      <c r="A43" s="16"/>
      <c r="B43" s="16"/>
      <c r="C43" s="18" t="str">
        <f>IF(B43="","",IFERROR(INDEX(Artistes!$B$2:$B$301,MATCH(B43,Artistes!$A$2:$A$301,0)),"ID inconnu"))</f>
        <v/>
      </c>
      <c r="D43" s="16"/>
      <c r="E43" s="18" t="str">
        <f>IF(D43="","",IFERROR(INDEX(Artistes!$B$2:$B$301,MATCH(D43,Artistes!$A$2:$A$301,0)),"ID inconnu"))</f>
        <v/>
      </c>
      <c r="F43" s="16"/>
      <c r="G43" s="16"/>
      <c r="H43" s="16"/>
    </row>
    <row r="44" spans="1:8" x14ac:dyDescent="0.25">
      <c r="A44" s="16"/>
      <c r="B44" s="16"/>
      <c r="C44" s="18" t="str">
        <f>IF(B44="","",IFERROR(INDEX(Artistes!$B$2:$B$301,MATCH(B44,Artistes!$A$2:$A$301,0)),"ID inconnu"))</f>
        <v/>
      </c>
      <c r="D44" s="16"/>
      <c r="E44" s="18" t="str">
        <f>IF(D44="","",IFERROR(INDEX(Artistes!$B$2:$B$301,MATCH(D44,Artistes!$A$2:$A$301,0)),"ID inconnu"))</f>
        <v/>
      </c>
      <c r="F44" s="16"/>
      <c r="G44" s="16"/>
      <c r="H44" s="16"/>
    </row>
    <row r="45" spans="1:8" x14ac:dyDescent="0.25">
      <c r="A45" s="16"/>
      <c r="B45" s="16"/>
      <c r="C45" s="18" t="str">
        <f>IF(B45="","",IFERROR(INDEX(Artistes!$B$2:$B$301,MATCH(B45,Artistes!$A$2:$A$301,0)),"ID inconnu"))</f>
        <v/>
      </c>
      <c r="D45" s="16"/>
      <c r="E45" s="18" t="str">
        <f>IF(D45="","",IFERROR(INDEX(Artistes!$B$2:$B$301,MATCH(D45,Artistes!$A$2:$A$301,0)),"ID inconnu"))</f>
        <v/>
      </c>
      <c r="F45" s="16"/>
      <c r="G45" s="16"/>
      <c r="H45" s="16"/>
    </row>
    <row r="46" spans="1:8" x14ac:dyDescent="0.25">
      <c r="A46" s="16"/>
      <c r="B46" s="16"/>
      <c r="C46" s="18" t="str">
        <f>IF(B46="","",IFERROR(INDEX(Artistes!$B$2:$B$301,MATCH(B46,Artistes!$A$2:$A$301,0)),"ID inconnu"))</f>
        <v/>
      </c>
      <c r="D46" s="16"/>
      <c r="E46" s="18" t="str">
        <f>IF(D46="","",IFERROR(INDEX(Artistes!$B$2:$B$301,MATCH(D46,Artistes!$A$2:$A$301,0)),"ID inconnu"))</f>
        <v/>
      </c>
      <c r="F46" s="16"/>
      <c r="G46" s="16"/>
      <c r="H46" s="16"/>
    </row>
    <row r="47" spans="1:8" x14ac:dyDescent="0.25">
      <c r="A47" s="16"/>
      <c r="B47" s="16"/>
      <c r="C47" s="18" t="str">
        <f>IF(B47="","",IFERROR(INDEX(Artistes!$B$2:$B$301,MATCH(B47,Artistes!$A$2:$A$301,0)),"ID inconnu"))</f>
        <v/>
      </c>
      <c r="D47" s="16"/>
      <c r="E47" s="18" t="str">
        <f>IF(D47="","",IFERROR(INDEX(Artistes!$B$2:$B$301,MATCH(D47,Artistes!$A$2:$A$301,0)),"ID inconnu"))</f>
        <v/>
      </c>
      <c r="F47" s="16"/>
      <c r="G47" s="16"/>
      <c r="H47" s="16"/>
    </row>
    <row r="48" spans="1:8" x14ac:dyDescent="0.25">
      <c r="A48" s="16"/>
      <c r="B48" s="16"/>
      <c r="C48" s="18" t="str">
        <f>IF(B48="","",IFERROR(INDEX(Artistes!$B$2:$B$301,MATCH(B48,Artistes!$A$2:$A$301,0)),"ID inconnu"))</f>
        <v/>
      </c>
      <c r="D48" s="16"/>
      <c r="E48" s="18" t="str">
        <f>IF(D48="","",IFERROR(INDEX(Artistes!$B$2:$B$301,MATCH(D48,Artistes!$A$2:$A$301,0)),"ID inconnu"))</f>
        <v/>
      </c>
      <c r="F48" s="16"/>
      <c r="G48" s="16"/>
      <c r="H48" s="16"/>
    </row>
    <row r="49" spans="1:8" x14ac:dyDescent="0.25">
      <c r="A49" s="16"/>
      <c r="B49" s="16"/>
      <c r="C49" s="18" t="str">
        <f>IF(B49="","",IFERROR(INDEX(Artistes!$B$2:$B$301,MATCH(B49,Artistes!$A$2:$A$301,0)),"ID inconnu"))</f>
        <v/>
      </c>
      <c r="D49" s="16"/>
      <c r="E49" s="18" t="str">
        <f>IF(D49="","",IFERROR(INDEX(Artistes!$B$2:$B$301,MATCH(D49,Artistes!$A$2:$A$301,0)),"ID inconnu"))</f>
        <v/>
      </c>
      <c r="F49" s="16"/>
      <c r="G49" s="16"/>
      <c r="H49" s="16"/>
    </row>
    <row r="50" spans="1:8" x14ac:dyDescent="0.25">
      <c r="A50" s="16"/>
      <c r="B50" s="16"/>
      <c r="C50" s="18" t="str">
        <f>IF(B50="","",IFERROR(INDEX(Artistes!$B$2:$B$301,MATCH(B50,Artistes!$A$2:$A$301,0)),"ID inconnu"))</f>
        <v/>
      </c>
      <c r="D50" s="16"/>
      <c r="E50" s="18" t="str">
        <f>IF(D50="","",IFERROR(INDEX(Artistes!$B$2:$B$301,MATCH(D50,Artistes!$A$2:$A$301,0)),"ID inconnu"))</f>
        <v/>
      </c>
      <c r="F50" s="16"/>
      <c r="G50" s="16"/>
      <c r="H50" s="16"/>
    </row>
    <row r="51" spans="1:8" x14ac:dyDescent="0.25">
      <c r="A51" s="16"/>
      <c r="B51" s="16"/>
      <c r="C51" s="18" t="str">
        <f>IF(B51="","",IFERROR(INDEX(Artistes!$B$2:$B$301,MATCH(B51,Artistes!$A$2:$A$301,0)),"ID inconnu"))</f>
        <v/>
      </c>
      <c r="D51" s="16"/>
      <c r="E51" s="18" t="str">
        <f>IF(D51="","",IFERROR(INDEX(Artistes!$B$2:$B$301,MATCH(D51,Artistes!$A$2:$A$301,0)),"ID inconnu"))</f>
        <v/>
      </c>
      <c r="F51" s="16"/>
      <c r="G51" s="16"/>
      <c r="H51" s="16"/>
    </row>
    <row r="52" spans="1:8" x14ac:dyDescent="0.25">
      <c r="A52" s="16"/>
      <c r="B52" s="16"/>
      <c r="C52" s="18" t="str">
        <f>IF(B52="","",IFERROR(INDEX(Artistes!$B$2:$B$301,MATCH(B52,Artistes!$A$2:$A$301,0)),"ID inconnu"))</f>
        <v/>
      </c>
      <c r="D52" s="16"/>
      <c r="E52" s="18" t="str">
        <f>IF(D52="","",IFERROR(INDEX(Artistes!$B$2:$B$301,MATCH(D52,Artistes!$A$2:$A$301,0)),"ID inconnu"))</f>
        <v/>
      </c>
      <c r="F52" s="16"/>
      <c r="G52" s="16"/>
      <c r="H52" s="16"/>
    </row>
    <row r="53" spans="1:8" x14ac:dyDescent="0.25">
      <c r="A53" s="16"/>
      <c r="B53" s="16"/>
      <c r="C53" s="18" t="str">
        <f>IF(B53="","",IFERROR(INDEX(Artistes!$B$2:$B$301,MATCH(B53,Artistes!$A$2:$A$301,0)),"ID inconnu"))</f>
        <v/>
      </c>
      <c r="D53" s="16"/>
      <c r="E53" s="18" t="str">
        <f>IF(D53="","",IFERROR(INDEX(Artistes!$B$2:$B$301,MATCH(D53,Artistes!$A$2:$A$301,0)),"ID inconnu"))</f>
        <v/>
      </c>
      <c r="F53" s="16"/>
      <c r="G53" s="16"/>
      <c r="H53" s="16"/>
    </row>
    <row r="54" spans="1:8" x14ac:dyDescent="0.25">
      <c r="A54" s="16"/>
      <c r="B54" s="16"/>
      <c r="C54" s="18" t="str">
        <f>IF(B54="","",IFERROR(INDEX(Artistes!$B$2:$B$301,MATCH(B54,Artistes!$A$2:$A$301,0)),"ID inconnu"))</f>
        <v/>
      </c>
      <c r="D54" s="16"/>
      <c r="E54" s="18" t="str">
        <f>IF(D54="","",IFERROR(INDEX(Artistes!$B$2:$B$301,MATCH(D54,Artistes!$A$2:$A$301,0)),"ID inconnu"))</f>
        <v/>
      </c>
      <c r="F54" s="16"/>
      <c r="G54" s="16"/>
      <c r="H54" s="16"/>
    </row>
    <row r="55" spans="1:8" x14ac:dyDescent="0.25">
      <c r="A55" s="16"/>
      <c r="B55" s="16"/>
      <c r="C55" s="18" t="str">
        <f>IF(B55="","",IFERROR(INDEX(Artistes!$B$2:$B$301,MATCH(B55,Artistes!$A$2:$A$301,0)),"ID inconnu"))</f>
        <v/>
      </c>
      <c r="D55" s="16"/>
      <c r="E55" s="18" t="str">
        <f>IF(D55="","",IFERROR(INDEX(Artistes!$B$2:$B$301,MATCH(D55,Artistes!$A$2:$A$301,0)),"ID inconnu"))</f>
        <v/>
      </c>
      <c r="F55" s="16"/>
      <c r="G55" s="16"/>
      <c r="H55" s="16"/>
    </row>
    <row r="56" spans="1:8" x14ac:dyDescent="0.25">
      <c r="A56" s="16"/>
      <c r="B56" s="16"/>
      <c r="C56" s="18" t="str">
        <f>IF(B56="","",IFERROR(INDEX(Artistes!$B$2:$B$301,MATCH(B56,Artistes!$A$2:$A$301,0)),"ID inconnu"))</f>
        <v/>
      </c>
      <c r="D56" s="16"/>
      <c r="E56" s="18" t="str">
        <f>IF(D56="","",IFERROR(INDEX(Artistes!$B$2:$B$301,MATCH(D56,Artistes!$A$2:$A$301,0)),"ID inconnu"))</f>
        <v/>
      </c>
      <c r="F56" s="16"/>
      <c r="G56" s="16"/>
      <c r="H56" s="16"/>
    </row>
    <row r="57" spans="1:8" x14ac:dyDescent="0.25">
      <c r="A57" s="16"/>
      <c r="B57" s="16"/>
      <c r="C57" s="18" t="str">
        <f>IF(B57="","",IFERROR(INDEX(Artistes!$B$2:$B$301,MATCH(B57,Artistes!$A$2:$A$301,0)),"ID inconnu"))</f>
        <v/>
      </c>
      <c r="D57" s="16"/>
      <c r="E57" s="18" t="str">
        <f>IF(D57="","",IFERROR(INDEX(Artistes!$B$2:$B$301,MATCH(D57,Artistes!$A$2:$A$301,0)),"ID inconnu"))</f>
        <v/>
      </c>
      <c r="F57" s="16"/>
      <c r="G57" s="16"/>
      <c r="H57" s="16"/>
    </row>
    <row r="58" spans="1:8" x14ac:dyDescent="0.25">
      <c r="A58" s="16"/>
      <c r="B58" s="16"/>
      <c r="C58" s="18" t="str">
        <f>IF(B58="","",IFERROR(INDEX(Artistes!$B$2:$B$301,MATCH(B58,Artistes!$A$2:$A$301,0)),"ID inconnu"))</f>
        <v/>
      </c>
      <c r="D58" s="16"/>
      <c r="E58" s="18" t="str">
        <f>IF(D58="","",IFERROR(INDEX(Artistes!$B$2:$B$301,MATCH(D58,Artistes!$A$2:$A$301,0)),"ID inconnu"))</f>
        <v/>
      </c>
      <c r="F58" s="16"/>
      <c r="G58" s="16"/>
      <c r="H58" s="16"/>
    </row>
    <row r="59" spans="1:8" x14ac:dyDescent="0.25">
      <c r="A59" s="16"/>
      <c r="B59" s="16"/>
      <c r="C59" s="18" t="str">
        <f>IF(B59="","",IFERROR(INDEX(Artistes!$B$2:$B$301,MATCH(B59,Artistes!$A$2:$A$301,0)),"ID inconnu"))</f>
        <v/>
      </c>
      <c r="D59" s="16"/>
      <c r="E59" s="18" t="str">
        <f>IF(D59="","",IFERROR(INDEX(Artistes!$B$2:$B$301,MATCH(D59,Artistes!$A$2:$A$301,0)),"ID inconnu"))</f>
        <v/>
      </c>
      <c r="F59" s="16"/>
      <c r="G59" s="16"/>
      <c r="H59" s="16"/>
    </row>
    <row r="60" spans="1:8" x14ac:dyDescent="0.25">
      <c r="A60" s="16"/>
      <c r="B60" s="16"/>
      <c r="C60" s="18" t="str">
        <f>IF(B60="","",IFERROR(INDEX(Artistes!$B$2:$B$301,MATCH(B60,Artistes!$A$2:$A$301,0)),"ID inconnu"))</f>
        <v/>
      </c>
      <c r="D60" s="16"/>
      <c r="E60" s="18" t="str">
        <f>IF(D60="","",IFERROR(INDEX(Artistes!$B$2:$B$301,MATCH(D60,Artistes!$A$2:$A$301,0)),"ID inconnu"))</f>
        <v/>
      </c>
      <c r="F60" s="16"/>
      <c r="G60" s="16"/>
      <c r="H60" s="16"/>
    </row>
    <row r="61" spans="1:8" x14ac:dyDescent="0.25">
      <c r="A61" s="16"/>
      <c r="B61" s="16"/>
      <c r="C61" s="18" t="str">
        <f>IF(B61="","",IFERROR(INDEX(Artistes!$B$2:$B$301,MATCH(B61,Artistes!$A$2:$A$301,0)),"ID inconnu"))</f>
        <v/>
      </c>
      <c r="D61" s="16"/>
      <c r="E61" s="18" t="str">
        <f>IF(D61="","",IFERROR(INDEX(Artistes!$B$2:$B$301,MATCH(D61,Artistes!$A$2:$A$301,0)),"ID inconnu"))</f>
        <v/>
      </c>
      <c r="F61" s="16"/>
      <c r="G61" s="16"/>
      <c r="H61" s="16"/>
    </row>
    <row r="62" spans="1:8" x14ac:dyDescent="0.25">
      <c r="A62" s="16"/>
      <c r="B62" s="16"/>
      <c r="C62" s="18" t="str">
        <f>IF(B62="","",IFERROR(INDEX(Artistes!$B$2:$B$301,MATCH(B62,Artistes!$A$2:$A$301,0)),"ID inconnu"))</f>
        <v/>
      </c>
      <c r="D62" s="16"/>
      <c r="E62" s="18" t="str">
        <f>IF(D62="","",IFERROR(INDEX(Artistes!$B$2:$B$301,MATCH(D62,Artistes!$A$2:$A$301,0)),"ID inconnu"))</f>
        <v/>
      </c>
      <c r="F62" s="16"/>
      <c r="G62" s="16"/>
      <c r="H62" s="16"/>
    </row>
    <row r="63" spans="1:8" x14ac:dyDescent="0.25">
      <c r="A63" s="16"/>
      <c r="B63" s="16"/>
      <c r="C63" s="18" t="str">
        <f>IF(B63="","",IFERROR(INDEX(Artistes!$B$2:$B$301,MATCH(B63,Artistes!$A$2:$A$301,0)),"ID inconnu"))</f>
        <v/>
      </c>
      <c r="D63" s="16"/>
      <c r="E63" s="18" t="str">
        <f>IF(D63="","",IFERROR(INDEX(Artistes!$B$2:$B$301,MATCH(D63,Artistes!$A$2:$A$301,0)),"ID inconnu"))</f>
        <v/>
      </c>
      <c r="F63" s="16"/>
      <c r="G63" s="16"/>
      <c r="H63" s="16"/>
    </row>
    <row r="64" spans="1:8" x14ac:dyDescent="0.25">
      <c r="A64" s="16"/>
      <c r="B64" s="16"/>
      <c r="C64" s="18" t="str">
        <f>IF(B64="","",IFERROR(INDEX(Artistes!$B$2:$B$301,MATCH(B64,Artistes!$A$2:$A$301,0)),"ID inconnu"))</f>
        <v/>
      </c>
      <c r="D64" s="16"/>
      <c r="E64" s="18" t="str">
        <f>IF(D64="","",IFERROR(INDEX(Artistes!$B$2:$B$301,MATCH(D64,Artistes!$A$2:$A$301,0)),"ID inconnu"))</f>
        <v/>
      </c>
      <c r="F64" s="16"/>
      <c r="G64" s="16"/>
      <c r="H64" s="16"/>
    </row>
    <row r="65" spans="1:8" x14ac:dyDescent="0.25">
      <c r="A65" s="16"/>
      <c r="B65" s="16"/>
      <c r="C65" s="18" t="str">
        <f>IF(B65="","",IFERROR(INDEX(Artistes!$B$2:$B$301,MATCH(B65,Artistes!$A$2:$A$301,0)),"ID inconnu"))</f>
        <v/>
      </c>
      <c r="D65" s="16"/>
      <c r="E65" s="18" t="str">
        <f>IF(D65="","",IFERROR(INDEX(Artistes!$B$2:$B$301,MATCH(D65,Artistes!$A$2:$A$301,0)),"ID inconnu"))</f>
        <v/>
      </c>
      <c r="F65" s="16"/>
      <c r="G65" s="16"/>
      <c r="H65" s="16"/>
    </row>
    <row r="66" spans="1:8" x14ac:dyDescent="0.25">
      <c r="A66" s="16"/>
      <c r="B66" s="16"/>
      <c r="C66" s="18" t="str">
        <f>IF(B66="","",IFERROR(INDEX(Artistes!$B$2:$B$301,MATCH(B66,Artistes!$A$2:$A$301,0)),"ID inconnu"))</f>
        <v/>
      </c>
      <c r="D66" s="16"/>
      <c r="E66" s="18" t="str">
        <f>IF(D66="","",IFERROR(INDEX(Artistes!$B$2:$B$301,MATCH(D66,Artistes!$A$2:$A$301,0)),"ID inconnu"))</f>
        <v/>
      </c>
      <c r="F66" s="16"/>
      <c r="G66" s="16"/>
      <c r="H66" s="16"/>
    </row>
    <row r="67" spans="1:8" x14ac:dyDescent="0.25">
      <c r="A67" s="16"/>
      <c r="B67" s="16"/>
      <c r="C67" s="18" t="str">
        <f>IF(B67="","",IFERROR(INDEX(Artistes!$B$2:$B$301,MATCH(B67,Artistes!$A$2:$A$301,0)),"ID inconnu"))</f>
        <v/>
      </c>
      <c r="D67" s="16"/>
      <c r="E67" s="18" t="str">
        <f>IF(D67="","",IFERROR(INDEX(Artistes!$B$2:$B$301,MATCH(D67,Artistes!$A$2:$A$301,0)),"ID inconnu"))</f>
        <v/>
      </c>
      <c r="F67" s="16"/>
      <c r="G67" s="16"/>
      <c r="H67" s="16"/>
    </row>
    <row r="68" spans="1:8" x14ac:dyDescent="0.25">
      <c r="A68" s="16"/>
      <c r="B68" s="16"/>
      <c r="C68" s="18" t="str">
        <f>IF(B68="","",IFERROR(INDEX(Artistes!$B$2:$B$301,MATCH(B68,Artistes!$A$2:$A$301,0)),"ID inconnu"))</f>
        <v/>
      </c>
      <c r="D68" s="16"/>
      <c r="E68" s="18" t="str">
        <f>IF(D68="","",IFERROR(INDEX(Artistes!$B$2:$B$301,MATCH(D68,Artistes!$A$2:$A$301,0)),"ID inconnu"))</f>
        <v/>
      </c>
      <c r="F68" s="16"/>
      <c r="G68" s="16"/>
      <c r="H68" s="16"/>
    </row>
    <row r="69" spans="1:8" x14ac:dyDescent="0.25">
      <c r="A69" s="16"/>
      <c r="B69" s="16"/>
      <c r="C69" s="18" t="str">
        <f>IF(B69="","",IFERROR(INDEX(Artistes!$B$2:$B$301,MATCH(B69,Artistes!$A$2:$A$301,0)),"ID inconnu"))</f>
        <v/>
      </c>
      <c r="D69" s="16"/>
      <c r="E69" s="18" t="str">
        <f>IF(D69="","",IFERROR(INDEX(Artistes!$B$2:$B$301,MATCH(D69,Artistes!$A$2:$A$301,0)),"ID inconnu"))</f>
        <v/>
      </c>
      <c r="F69" s="16"/>
      <c r="G69" s="16"/>
      <c r="H69" s="16"/>
    </row>
    <row r="70" spans="1:8" x14ac:dyDescent="0.25">
      <c r="A70" s="16"/>
      <c r="B70" s="16"/>
      <c r="C70" s="18" t="str">
        <f>IF(B70="","",IFERROR(INDEX(Artistes!$B$2:$B$301,MATCH(B70,Artistes!$A$2:$A$301,0)),"ID inconnu"))</f>
        <v/>
      </c>
      <c r="D70" s="16"/>
      <c r="E70" s="18" t="str">
        <f>IF(D70="","",IFERROR(INDEX(Artistes!$B$2:$B$301,MATCH(D70,Artistes!$A$2:$A$301,0)),"ID inconnu"))</f>
        <v/>
      </c>
      <c r="F70" s="16"/>
      <c r="G70" s="16"/>
      <c r="H70" s="16"/>
    </row>
    <row r="71" spans="1:8" x14ac:dyDescent="0.25">
      <c r="A71" s="16"/>
      <c r="B71" s="16"/>
      <c r="C71" s="18" t="str">
        <f>IF(B71="","",IFERROR(INDEX(Artistes!$B$2:$B$301,MATCH(B71,Artistes!$A$2:$A$301,0)),"ID inconnu"))</f>
        <v/>
      </c>
      <c r="D71" s="16"/>
      <c r="E71" s="18" t="str">
        <f>IF(D71="","",IFERROR(INDEX(Artistes!$B$2:$B$301,MATCH(D71,Artistes!$A$2:$A$301,0)),"ID inconnu"))</f>
        <v/>
      </c>
      <c r="F71" s="16"/>
      <c r="G71" s="16"/>
      <c r="H71" s="16"/>
    </row>
    <row r="72" spans="1:8" x14ac:dyDescent="0.25">
      <c r="A72" s="16"/>
      <c r="B72" s="16"/>
      <c r="C72" s="18" t="str">
        <f>IF(B72="","",IFERROR(INDEX(Artistes!$B$2:$B$301,MATCH(B72,Artistes!$A$2:$A$301,0)),"ID inconnu"))</f>
        <v/>
      </c>
      <c r="D72" s="16"/>
      <c r="E72" s="18" t="str">
        <f>IF(D72="","",IFERROR(INDEX(Artistes!$B$2:$B$301,MATCH(D72,Artistes!$A$2:$A$301,0)),"ID inconnu"))</f>
        <v/>
      </c>
      <c r="F72" s="16"/>
      <c r="G72" s="16"/>
      <c r="H72" s="16"/>
    </row>
    <row r="73" spans="1:8" x14ac:dyDescent="0.25">
      <c r="A73" s="16"/>
      <c r="B73" s="16"/>
      <c r="C73" s="18" t="str">
        <f>IF(B73="","",IFERROR(INDEX(Artistes!$B$2:$B$301,MATCH(B73,Artistes!$A$2:$A$301,0)),"ID inconnu"))</f>
        <v/>
      </c>
      <c r="D73" s="16"/>
      <c r="E73" s="18" t="str">
        <f>IF(D73="","",IFERROR(INDEX(Artistes!$B$2:$B$301,MATCH(D73,Artistes!$A$2:$A$301,0)),"ID inconnu"))</f>
        <v/>
      </c>
      <c r="F73" s="16"/>
      <c r="G73" s="16"/>
      <c r="H73" s="16"/>
    </row>
    <row r="74" spans="1:8" x14ac:dyDescent="0.25">
      <c r="A74" s="16"/>
      <c r="B74" s="16"/>
      <c r="C74" s="18" t="str">
        <f>IF(B74="","",IFERROR(INDEX(Artistes!$B$2:$B$301,MATCH(B74,Artistes!$A$2:$A$301,0)),"ID inconnu"))</f>
        <v/>
      </c>
      <c r="D74" s="16"/>
      <c r="E74" s="18" t="str">
        <f>IF(D74="","",IFERROR(INDEX(Artistes!$B$2:$B$301,MATCH(D74,Artistes!$A$2:$A$301,0)),"ID inconnu"))</f>
        <v/>
      </c>
      <c r="F74" s="16"/>
      <c r="G74" s="16"/>
      <c r="H74" s="16"/>
    </row>
    <row r="75" spans="1:8" x14ac:dyDescent="0.25">
      <c r="A75" s="16"/>
      <c r="B75" s="16"/>
      <c r="C75" s="18" t="str">
        <f>IF(B75="","",IFERROR(INDEX(Artistes!$B$2:$B$301,MATCH(B75,Artistes!$A$2:$A$301,0)),"ID inconnu"))</f>
        <v/>
      </c>
      <c r="D75" s="16"/>
      <c r="E75" s="18" t="str">
        <f>IF(D75="","",IFERROR(INDEX(Artistes!$B$2:$B$301,MATCH(D75,Artistes!$A$2:$A$301,0)),"ID inconnu"))</f>
        <v/>
      </c>
      <c r="F75" s="16"/>
      <c r="G75" s="16"/>
      <c r="H75" s="16"/>
    </row>
    <row r="76" spans="1:8" x14ac:dyDescent="0.25">
      <c r="A76" s="16"/>
      <c r="B76" s="16"/>
      <c r="C76" s="18" t="str">
        <f>IF(B76="","",IFERROR(INDEX(Artistes!$B$2:$B$301,MATCH(B76,Artistes!$A$2:$A$301,0)),"ID inconnu"))</f>
        <v/>
      </c>
      <c r="D76" s="16"/>
      <c r="E76" s="18" t="str">
        <f>IF(D76="","",IFERROR(INDEX(Artistes!$B$2:$B$301,MATCH(D76,Artistes!$A$2:$A$301,0)),"ID inconnu"))</f>
        <v/>
      </c>
      <c r="F76" s="16"/>
      <c r="G76" s="16"/>
      <c r="H76" s="16"/>
    </row>
    <row r="77" spans="1:8" x14ac:dyDescent="0.25">
      <c r="A77" s="16"/>
      <c r="B77" s="16"/>
      <c r="C77" s="18" t="str">
        <f>IF(B77="","",IFERROR(INDEX(Artistes!$B$2:$B$301,MATCH(B77,Artistes!$A$2:$A$301,0)),"ID inconnu"))</f>
        <v/>
      </c>
      <c r="D77" s="16"/>
      <c r="E77" s="18" t="str">
        <f>IF(D77="","",IFERROR(INDEX(Artistes!$B$2:$B$301,MATCH(D77,Artistes!$A$2:$A$301,0)),"ID inconnu"))</f>
        <v/>
      </c>
      <c r="F77" s="16"/>
      <c r="G77" s="16"/>
      <c r="H77" s="16"/>
    </row>
    <row r="78" spans="1:8" x14ac:dyDescent="0.25">
      <c r="A78" s="16"/>
      <c r="B78" s="16"/>
      <c r="C78" s="18" t="str">
        <f>IF(B78="","",IFERROR(INDEX(Artistes!$B$2:$B$301,MATCH(B78,Artistes!$A$2:$A$301,0)),"ID inconnu"))</f>
        <v/>
      </c>
      <c r="D78" s="16"/>
      <c r="E78" s="18" t="str">
        <f>IF(D78="","",IFERROR(INDEX(Artistes!$B$2:$B$301,MATCH(D78,Artistes!$A$2:$A$301,0)),"ID inconnu"))</f>
        <v/>
      </c>
      <c r="F78" s="16"/>
      <c r="G78" s="16"/>
      <c r="H78" s="16"/>
    </row>
    <row r="79" spans="1:8" x14ac:dyDescent="0.25">
      <c r="A79" s="16"/>
      <c r="B79" s="16"/>
      <c r="C79" s="18" t="str">
        <f>IF(B79="","",IFERROR(INDEX(Artistes!$B$2:$B$301,MATCH(B79,Artistes!$A$2:$A$301,0)),"ID inconnu"))</f>
        <v/>
      </c>
      <c r="D79" s="16"/>
      <c r="E79" s="18" t="str">
        <f>IF(D79="","",IFERROR(INDEX(Artistes!$B$2:$B$301,MATCH(D79,Artistes!$A$2:$A$301,0)),"ID inconnu"))</f>
        <v/>
      </c>
      <c r="F79" s="16"/>
      <c r="G79" s="16"/>
      <c r="H79" s="16"/>
    </row>
    <row r="80" spans="1:8" x14ac:dyDescent="0.25">
      <c r="A80" s="16"/>
      <c r="B80" s="16"/>
      <c r="C80" s="18" t="str">
        <f>IF(B80="","",IFERROR(INDEX(Artistes!$B$2:$B$301,MATCH(B80,Artistes!$A$2:$A$301,0)),"ID inconnu"))</f>
        <v/>
      </c>
      <c r="D80" s="16"/>
      <c r="E80" s="18" t="str">
        <f>IF(D80="","",IFERROR(INDEX(Artistes!$B$2:$B$301,MATCH(D80,Artistes!$A$2:$A$301,0)),"ID inconnu"))</f>
        <v/>
      </c>
      <c r="F80" s="16"/>
      <c r="G80" s="16"/>
      <c r="H80" s="16"/>
    </row>
    <row r="81" spans="1:8" x14ac:dyDescent="0.25">
      <c r="A81" s="16"/>
      <c r="B81" s="16"/>
      <c r="C81" s="18" t="str">
        <f>IF(B81="","",IFERROR(INDEX(Artistes!$B$2:$B$301,MATCH(B81,Artistes!$A$2:$A$301,0)),"ID inconnu"))</f>
        <v/>
      </c>
      <c r="D81" s="16"/>
      <c r="E81" s="18" t="str">
        <f>IF(D81="","",IFERROR(INDEX(Artistes!$B$2:$B$301,MATCH(D81,Artistes!$A$2:$A$301,0)),"ID inconnu"))</f>
        <v/>
      </c>
      <c r="F81" s="16"/>
      <c r="G81" s="16"/>
      <c r="H81" s="16"/>
    </row>
    <row r="82" spans="1:8" x14ac:dyDescent="0.25">
      <c r="A82" s="16"/>
      <c r="B82" s="16"/>
      <c r="C82" s="18" t="str">
        <f>IF(B82="","",IFERROR(INDEX(Artistes!$B$2:$B$301,MATCH(B82,Artistes!$A$2:$A$301,0)),"ID inconnu"))</f>
        <v/>
      </c>
      <c r="D82" s="16"/>
      <c r="E82" s="18" t="str">
        <f>IF(D82="","",IFERROR(INDEX(Artistes!$B$2:$B$301,MATCH(D82,Artistes!$A$2:$A$301,0)),"ID inconnu"))</f>
        <v/>
      </c>
      <c r="F82" s="16"/>
      <c r="G82" s="16"/>
      <c r="H82" s="16"/>
    </row>
    <row r="83" spans="1:8" x14ac:dyDescent="0.25">
      <c r="A83" s="16"/>
      <c r="B83" s="16"/>
      <c r="C83" s="18" t="str">
        <f>IF(B83="","",IFERROR(INDEX(Artistes!$B$2:$B$301,MATCH(B83,Artistes!$A$2:$A$301,0)),"ID inconnu"))</f>
        <v/>
      </c>
      <c r="D83" s="16"/>
      <c r="E83" s="18" t="str">
        <f>IF(D83="","",IFERROR(INDEX(Artistes!$B$2:$B$301,MATCH(D83,Artistes!$A$2:$A$301,0)),"ID inconnu"))</f>
        <v/>
      </c>
      <c r="F83" s="16"/>
      <c r="G83" s="16"/>
      <c r="H83" s="16"/>
    </row>
    <row r="84" spans="1:8" x14ac:dyDescent="0.25">
      <c r="A84" s="16"/>
      <c r="B84" s="16"/>
      <c r="C84" s="18" t="str">
        <f>IF(B84="","",IFERROR(INDEX(Artistes!$B$2:$B$301,MATCH(B84,Artistes!$A$2:$A$301,0)),"ID inconnu"))</f>
        <v/>
      </c>
      <c r="D84" s="16"/>
      <c r="E84" s="18" t="str">
        <f>IF(D84="","",IFERROR(INDEX(Artistes!$B$2:$B$301,MATCH(D84,Artistes!$A$2:$A$301,0)),"ID inconnu"))</f>
        <v/>
      </c>
      <c r="F84" s="16"/>
      <c r="G84" s="16"/>
      <c r="H84" s="16"/>
    </row>
    <row r="85" spans="1:8" x14ac:dyDescent="0.25">
      <c r="A85" s="16"/>
      <c r="B85" s="16"/>
      <c r="C85" s="18" t="str">
        <f>IF(B85="","",IFERROR(INDEX(Artistes!$B$2:$B$301,MATCH(B85,Artistes!$A$2:$A$301,0)),"ID inconnu"))</f>
        <v/>
      </c>
      <c r="D85" s="16"/>
      <c r="E85" s="18" t="str">
        <f>IF(D85="","",IFERROR(INDEX(Artistes!$B$2:$B$301,MATCH(D85,Artistes!$A$2:$A$301,0)),"ID inconnu"))</f>
        <v/>
      </c>
      <c r="F85" s="16"/>
      <c r="G85" s="16"/>
      <c r="H85" s="16"/>
    </row>
    <row r="86" spans="1:8" x14ac:dyDescent="0.25">
      <c r="A86" s="16"/>
      <c r="B86" s="16"/>
      <c r="C86" s="18" t="str">
        <f>IF(B86="","",IFERROR(INDEX(Artistes!$B$2:$B$301,MATCH(B86,Artistes!$A$2:$A$301,0)),"ID inconnu"))</f>
        <v/>
      </c>
      <c r="D86" s="16"/>
      <c r="E86" s="18" t="str">
        <f>IF(D86="","",IFERROR(INDEX(Artistes!$B$2:$B$301,MATCH(D86,Artistes!$A$2:$A$301,0)),"ID inconnu"))</f>
        <v/>
      </c>
      <c r="F86" s="16"/>
      <c r="G86" s="16"/>
      <c r="H86" s="16"/>
    </row>
    <row r="87" spans="1:8" x14ac:dyDescent="0.25">
      <c r="A87" s="16"/>
      <c r="B87" s="16"/>
      <c r="C87" s="18" t="str">
        <f>IF(B87="","",IFERROR(INDEX(Artistes!$B$2:$B$301,MATCH(B87,Artistes!$A$2:$A$301,0)),"ID inconnu"))</f>
        <v/>
      </c>
      <c r="D87" s="16"/>
      <c r="E87" s="18" t="str">
        <f>IF(D87="","",IFERROR(INDEX(Artistes!$B$2:$B$301,MATCH(D87,Artistes!$A$2:$A$301,0)),"ID inconnu"))</f>
        <v/>
      </c>
      <c r="F87" s="16"/>
      <c r="G87" s="16"/>
      <c r="H87" s="16"/>
    </row>
    <row r="88" spans="1:8" x14ac:dyDescent="0.25">
      <c r="A88" s="16"/>
      <c r="B88" s="16"/>
      <c r="C88" s="18" t="str">
        <f>IF(B88="","",IFERROR(INDEX(Artistes!$B$2:$B$301,MATCH(B88,Artistes!$A$2:$A$301,0)),"ID inconnu"))</f>
        <v/>
      </c>
      <c r="D88" s="16"/>
      <c r="E88" s="18" t="str">
        <f>IF(D88="","",IFERROR(INDEX(Artistes!$B$2:$B$301,MATCH(D88,Artistes!$A$2:$A$301,0)),"ID inconnu"))</f>
        <v/>
      </c>
      <c r="F88" s="16"/>
      <c r="G88" s="16"/>
      <c r="H88" s="16"/>
    </row>
    <row r="89" spans="1:8" x14ac:dyDescent="0.25">
      <c r="A89" s="16"/>
      <c r="B89" s="16"/>
      <c r="C89" s="18" t="str">
        <f>IF(B89="","",IFERROR(INDEX(Artistes!$B$2:$B$301,MATCH(B89,Artistes!$A$2:$A$301,0)),"ID inconnu"))</f>
        <v/>
      </c>
      <c r="D89" s="16"/>
      <c r="E89" s="18" t="str">
        <f>IF(D89="","",IFERROR(INDEX(Artistes!$B$2:$B$301,MATCH(D89,Artistes!$A$2:$A$301,0)),"ID inconnu"))</f>
        <v/>
      </c>
      <c r="F89" s="16"/>
      <c r="G89" s="16"/>
      <c r="H89" s="16"/>
    </row>
    <row r="90" spans="1:8" x14ac:dyDescent="0.25">
      <c r="A90" s="16"/>
      <c r="B90" s="16"/>
      <c r="C90" s="18" t="str">
        <f>IF(B90="","",IFERROR(INDEX(Artistes!$B$2:$B$301,MATCH(B90,Artistes!$A$2:$A$301,0)),"ID inconnu"))</f>
        <v/>
      </c>
      <c r="D90" s="16"/>
      <c r="E90" s="18" t="str">
        <f>IF(D90="","",IFERROR(INDEX(Artistes!$B$2:$B$301,MATCH(D90,Artistes!$A$2:$A$301,0)),"ID inconnu"))</f>
        <v/>
      </c>
      <c r="F90" s="16"/>
      <c r="G90" s="16"/>
      <c r="H90" s="16"/>
    </row>
    <row r="91" spans="1:8" x14ac:dyDescent="0.25">
      <c r="A91" s="16"/>
      <c r="B91" s="16"/>
      <c r="C91" s="18" t="str">
        <f>IF(B91="","",IFERROR(INDEX(Artistes!$B$2:$B$301,MATCH(B91,Artistes!$A$2:$A$301,0)),"ID inconnu"))</f>
        <v/>
      </c>
      <c r="D91" s="16"/>
      <c r="E91" s="18" t="str">
        <f>IF(D91="","",IFERROR(INDEX(Artistes!$B$2:$B$301,MATCH(D91,Artistes!$A$2:$A$301,0)),"ID inconnu"))</f>
        <v/>
      </c>
      <c r="F91" s="16"/>
      <c r="G91" s="16"/>
      <c r="H91" s="16"/>
    </row>
    <row r="92" spans="1:8" x14ac:dyDescent="0.25">
      <c r="A92" s="16"/>
      <c r="B92" s="16"/>
      <c r="C92" s="18" t="str">
        <f>IF(B92="","",IFERROR(INDEX(Artistes!$B$2:$B$301,MATCH(B92,Artistes!$A$2:$A$301,0)),"ID inconnu"))</f>
        <v/>
      </c>
      <c r="D92" s="16"/>
      <c r="E92" s="18" t="str">
        <f>IF(D92="","",IFERROR(INDEX(Artistes!$B$2:$B$301,MATCH(D92,Artistes!$A$2:$A$301,0)),"ID inconnu"))</f>
        <v/>
      </c>
      <c r="F92" s="16"/>
      <c r="G92" s="16"/>
      <c r="H92" s="16"/>
    </row>
    <row r="93" spans="1:8" x14ac:dyDescent="0.25">
      <c r="A93" s="16"/>
      <c r="B93" s="16"/>
      <c r="C93" s="18" t="str">
        <f>IF(B93="","",IFERROR(INDEX(Artistes!$B$2:$B$301,MATCH(B93,Artistes!$A$2:$A$301,0)),"ID inconnu"))</f>
        <v/>
      </c>
      <c r="D93" s="16"/>
      <c r="E93" s="18" t="str">
        <f>IF(D93="","",IFERROR(INDEX(Artistes!$B$2:$B$301,MATCH(D93,Artistes!$A$2:$A$301,0)),"ID inconnu"))</f>
        <v/>
      </c>
      <c r="F93" s="16"/>
      <c r="G93" s="16"/>
      <c r="H93" s="16"/>
    </row>
    <row r="94" spans="1:8" x14ac:dyDescent="0.25">
      <c r="A94" s="16"/>
      <c r="B94" s="16"/>
      <c r="C94" s="18" t="str">
        <f>IF(B94="","",IFERROR(INDEX(Artistes!$B$2:$B$301,MATCH(B94,Artistes!$A$2:$A$301,0)),"ID inconnu"))</f>
        <v/>
      </c>
      <c r="D94" s="16"/>
      <c r="E94" s="18" t="str">
        <f>IF(D94="","",IFERROR(INDEX(Artistes!$B$2:$B$301,MATCH(D94,Artistes!$A$2:$A$301,0)),"ID inconnu"))</f>
        <v/>
      </c>
      <c r="F94" s="16"/>
      <c r="G94" s="16"/>
      <c r="H94" s="16"/>
    </row>
    <row r="95" spans="1:8" x14ac:dyDescent="0.25">
      <c r="A95" s="16"/>
      <c r="B95" s="16"/>
      <c r="C95" s="18" t="str">
        <f>IF(B95="","",IFERROR(INDEX(Artistes!$B$2:$B$301,MATCH(B95,Artistes!$A$2:$A$301,0)),"ID inconnu"))</f>
        <v/>
      </c>
      <c r="D95" s="16"/>
      <c r="E95" s="18" t="str">
        <f>IF(D95="","",IFERROR(INDEX(Artistes!$B$2:$B$301,MATCH(D95,Artistes!$A$2:$A$301,0)),"ID inconnu"))</f>
        <v/>
      </c>
      <c r="F95" s="16"/>
      <c r="G95" s="16"/>
      <c r="H95" s="16"/>
    </row>
    <row r="96" spans="1:8" x14ac:dyDescent="0.25">
      <c r="A96" s="16"/>
      <c r="B96" s="16"/>
      <c r="C96" s="18" t="str">
        <f>IF(B96="","",IFERROR(INDEX(Artistes!$B$2:$B$301,MATCH(B96,Artistes!$A$2:$A$301,0)),"ID inconnu"))</f>
        <v/>
      </c>
      <c r="D96" s="16"/>
      <c r="E96" s="18" t="str">
        <f>IF(D96="","",IFERROR(INDEX(Artistes!$B$2:$B$301,MATCH(D96,Artistes!$A$2:$A$301,0)),"ID inconnu"))</f>
        <v/>
      </c>
      <c r="F96" s="16"/>
      <c r="G96" s="16"/>
      <c r="H96" s="16"/>
    </row>
    <row r="97" spans="1:8" x14ac:dyDescent="0.25">
      <c r="A97" s="16"/>
      <c r="B97" s="16"/>
      <c r="C97" s="18" t="str">
        <f>IF(B97="","",IFERROR(INDEX(Artistes!$B$2:$B$301,MATCH(B97,Artistes!$A$2:$A$301,0)),"ID inconnu"))</f>
        <v/>
      </c>
      <c r="D97" s="16"/>
      <c r="E97" s="18" t="str">
        <f>IF(D97="","",IFERROR(INDEX(Artistes!$B$2:$B$301,MATCH(D97,Artistes!$A$2:$A$301,0)),"ID inconnu"))</f>
        <v/>
      </c>
      <c r="F97" s="16"/>
      <c r="G97" s="16"/>
      <c r="H97" s="16"/>
    </row>
    <row r="98" spans="1:8" x14ac:dyDescent="0.25">
      <c r="A98" s="16"/>
      <c r="B98" s="16"/>
      <c r="C98" s="18" t="str">
        <f>IF(B98="","",IFERROR(INDEX(Artistes!$B$2:$B$301,MATCH(B98,Artistes!$A$2:$A$301,0)),"ID inconnu"))</f>
        <v/>
      </c>
      <c r="D98" s="16"/>
      <c r="E98" s="18" t="str">
        <f>IF(D98="","",IFERROR(INDEX(Artistes!$B$2:$B$301,MATCH(D98,Artistes!$A$2:$A$301,0)),"ID inconnu"))</f>
        <v/>
      </c>
      <c r="F98" s="16"/>
      <c r="G98" s="16"/>
      <c r="H98" s="16"/>
    </row>
    <row r="99" spans="1:8" x14ac:dyDescent="0.25">
      <c r="A99" s="16"/>
      <c r="B99" s="16"/>
      <c r="C99" s="18" t="str">
        <f>IF(B99="","",IFERROR(INDEX(Artistes!$B$2:$B$301,MATCH(B99,Artistes!$A$2:$A$301,0)),"ID inconnu"))</f>
        <v/>
      </c>
      <c r="D99" s="16"/>
      <c r="E99" s="18" t="str">
        <f>IF(D99="","",IFERROR(INDEX(Artistes!$B$2:$B$301,MATCH(D99,Artistes!$A$2:$A$301,0)),"ID inconnu"))</f>
        <v/>
      </c>
      <c r="F99" s="16"/>
      <c r="G99" s="16"/>
      <c r="H99" s="16"/>
    </row>
    <row r="100" spans="1:8" x14ac:dyDescent="0.25">
      <c r="A100" s="16"/>
      <c r="B100" s="16"/>
      <c r="C100" s="18" t="str">
        <f>IF(B100="","",IFERROR(INDEX(Artistes!$B$2:$B$301,MATCH(B100,Artistes!$A$2:$A$301,0)),"ID inconnu"))</f>
        <v/>
      </c>
      <c r="D100" s="16"/>
      <c r="E100" s="18" t="str">
        <f>IF(D100="","",IFERROR(INDEX(Artistes!$B$2:$B$301,MATCH(D100,Artistes!$A$2:$A$301,0)),"ID inconnu"))</f>
        <v/>
      </c>
      <c r="F100" s="16"/>
      <c r="G100" s="16"/>
      <c r="H100" s="16"/>
    </row>
    <row r="101" spans="1:8" x14ac:dyDescent="0.25">
      <c r="A101" s="16"/>
      <c r="B101" s="16"/>
      <c r="C101" s="18" t="str">
        <f>IF(B101="","",IFERROR(INDEX(Artistes!$B$2:$B$301,MATCH(B101,Artistes!$A$2:$A$301,0)),"ID inconnu"))</f>
        <v/>
      </c>
      <c r="D101" s="16"/>
      <c r="E101" s="18" t="str">
        <f>IF(D101="","",IFERROR(INDEX(Artistes!$B$2:$B$301,MATCH(D101,Artistes!$A$2:$A$301,0)),"ID inconnu"))</f>
        <v/>
      </c>
      <c r="F101" s="16"/>
      <c r="G101" s="16"/>
      <c r="H101" s="16"/>
    </row>
    <row r="102" spans="1:8" x14ac:dyDescent="0.25">
      <c r="A102" s="16"/>
      <c r="B102" s="16"/>
      <c r="C102" s="18" t="str">
        <f>IF(B102="","",IFERROR(INDEX(Artistes!$B$2:$B$301,MATCH(B102,Artistes!$A$2:$A$301,0)),"ID inconnu"))</f>
        <v/>
      </c>
      <c r="D102" s="16"/>
      <c r="E102" s="18" t="str">
        <f>IF(D102="","",IFERROR(INDEX(Artistes!$B$2:$B$301,MATCH(D102,Artistes!$A$2:$A$301,0)),"ID inconnu"))</f>
        <v/>
      </c>
      <c r="F102" s="16"/>
      <c r="G102" s="16"/>
      <c r="H102" s="16"/>
    </row>
    <row r="103" spans="1:8" x14ac:dyDescent="0.25">
      <c r="A103" s="16"/>
      <c r="B103" s="16"/>
      <c r="C103" s="18" t="str">
        <f>IF(B103="","",IFERROR(INDEX(Artistes!$B$2:$B$301,MATCH(B103,Artistes!$A$2:$A$301,0)),"ID inconnu"))</f>
        <v/>
      </c>
      <c r="D103" s="16"/>
      <c r="E103" s="18" t="str">
        <f>IF(D103="","",IFERROR(INDEX(Artistes!$B$2:$B$301,MATCH(D103,Artistes!$A$2:$A$301,0)),"ID inconnu"))</f>
        <v/>
      </c>
      <c r="F103" s="16"/>
      <c r="G103" s="16"/>
      <c r="H103" s="16"/>
    </row>
    <row r="104" spans="1:8" x14ac:dyDescent="0.25">
      <c r="A104" s="16"/>
      <c r="B104" s="16"/>
      <c r="C104" s="18" t="str">
        <f>IF(B104="","",IFERROR(INDEX(Artistes!$B$2:$B$301,MATCH(B104,Artistes!$A$2:$A$301,0)),"ID inconnu"))</f>
        <v/>
      </c>
      <c r="D104" s="16"/>
      <c r="E104" s="18" t="str">
        <f>IF(D104="","",IFERROR(INDEX(Artistes!$B$2:$B$301,MATCH(D104,Artistes!$A$2:$A$301,0)),"ID inconnu"))</f>
        <v/>
      </c>
      <c r="F104" s="16"/>
      <c r="G104" s="16"/>
      <c r="H104" s="16"/>
    </row>
    <row r="105" spans="1:8" x14ac:dyDescent="0.25">
      <c r="A105" s="16"/>
      <c r="B105" s="16"/>
      <c r="C105" s="18" t="str">
        <f>IF(B105="","",IFERROR(INDEX(Artistes!$B$2:$B$301,MATCH(B105,Artistes!$A$2:$A$301,0)),"ID inconnu"))</f>
        <v/>
      </c>
      <c r="D105" s="16"/>
      <c r="E105" s="18" t="str">
        <f>IF(D105="","",IFERROR(INDEX(Artistes!$B$2:$B$301,MATCH(D105,Artistes!$A$2:$A$301,0)),"ID inconnu"))</f>
        <v/>
      </c>
      <c r="F105" s="16"/>
      <c r="G105" s="16"/>
      <c r="H105" s="16"/>
    </row>
    <row r="106" spans="1:8" x14ac:dyDescent="0.25">
      <c r="A106" s="16"/>
      <c r="B106" s="16"/>
      <c r="C106" s="18" t="str">
        <f>IF(B106="","",IFERROR(INDEX(Artistes!$B$2:$B$301,MATCH(B106,Artistes!$A$2:$A$301,0)),"ID inconnu"))</f>
        <v/>
      </c>
      <c r="D106" s="16"/>
      <c r="E106" s="18" t="str">
        <f>IF(D106="","",IFERROR(INDEX(Artistes!$B$2:$B$301,MATCH(D106,Artistes!$A$2:$A$301,0)),"ID inconnu"))</f>
        <v/>
      </c>
      <c r="F106" s="16"/>
      <c r="G106" s="16"/>
      <c r="H106" s="16"/>
    </row>
    <row r="107" spans="1:8" x14ac:dyDescent="0.25">
      <c r="A107" s="16"/>
      <c r="B107" s="16"/>
      <c r="C107" s="18" t="str">
        <f>IF(B107="","",IFERROR(INDEX(Artistes!$B$2:$B$301,MATCH(B107,Artistes!$A$2:$A$301,0)),"ID inconnu"))</f>
        <v/>
      </c>
      <c r="D107" s="16"/>
      <c r="E107" s="18" t="str">
        <f>IF(D107="","",IFERROR(INDEX(Artistes!$B$2:$B$301,MATCH(D107,Artistes!$A$2:$A$301,0)),"ID inconnu"))</f>
        <v/>
      </c>
      <c r="F107" s="16"/>
      <c r="G107" s="16"/>
      <c r="H107" s="16"/>
    </row>
    <row r="108" spans="1:8" x14ac:dyDescent="0.25">
      <c r="A108" s="16"/>
      <c r="B108" s="16"/>
      <c r="C108" s="18" t="str">
        <f>IF(B108="","",IFERROR(INDEX(Artistes!$B$2:$B$301,MATCH(B108,Artistes!$A$2:$A$301,0)),"ID inconnu"))</f>
        <v/>
      </c>
      <c r="D108" s="16"/>
      <c r="E108" s="18" t="str">
        <f>IF(D108="","",IFERROR(INDEX(Artistes!$B$2:$B$301,MATCH(D108,Artistes!$A$2:$A$301,0)),"ID inconnu"))</f>
        <v/>
      </c>
      <c r="F108" s="16"/>
      <c r="G108" s="16"/>
      <c r="H108" s="16"/>
    </row>
    <row r="109" spans="1:8" x14ac:dyDescent="0.25">
      <c r="A109" s="16"/>
      <c r="B109" s="16"/>
      <c r="C109" s="18" t="str">
        <f>IF(B109="","",IFERROR(INDEX(Artistes!$B$2:$B$301,MATCH(B109,Artistes!$A$2:$A$301,0)),"ID inconnu"))</f>
        <v/>
      </c>
      <c r="D109" s="16"/>
      <c r="E109" s="18" t="str">
        <f>IF(D109="","",IFERROR(INDEX(Artistes!$B$2:$B$301,MATCH(D109,Artistes!$A$2:$A$301,0)),"ID inconnu"))</f>
        <v/>
      </c>
      <c r="F109" s="16"/>
      <c r="G109" s="16"/>
      <c r="H109" s="16"/>
    </row>
    <row r="110" spans="1:8" x14ac:dyDescent="0.25">
      <c r="A110" s="16"/>
      <c r="B110" s="16"/>
      <c r="C110" s="18" t="str">
        <f>IF(B110="","",IFERROR(INDEX(Artistes!$B$2:$B$301,MATCH(B110,Artistes!$A$2:$A$301,0)),"ID inconnu"))</f>
        <v/>
      </c>
      <c r="D110" s="16"/>
      <c r="E110" s="18" t="str">
        <f>IF(D110="","",IFERROR(INDEX(Artistes!$B$2:$B$301,MATCH(D110,Artistes!$A$2:$A$301,0)),"ID inconnu"))</f>
        <v/>
      </c>
      <c r="F110" s="16"/>
      <c r="G110" s="16"/>
      <c r="H110" s="16"/>
    </row>
    <row r="111" spans="1:8" x14ac:dyDescent="0.25">
      <c r="A111" s="16"/>
      <c r="B111" s="16"/>
      <c r="C111" s="18" t="str">
        <f>IF(B111="","",IFERROR(INDEX(Artistes!$B$2:$B$301,MATCH(B111,Artistes!$A$2:$A$301,0)),"ID inconnu"))</f>
        <v/>
      </c>
      <c r="D111" s="16"/>
      <c r="E111" s="18" t="str">
        <f>IF(D111="","",IFERROR(INDEX(Artistes!$B$2:$B$301,MATCH(D111,Artistes!$A$2:$A$301,0)),"ID inconnu"))</f>
        <v/>
      </c>
      <c r="F111" s="16"/>
      <c r="G111" s="16"/>
      <c r="H111" s="16"/>
    </row>
    <row r="112" spans="1:8" x14ac:dyDescent="0.25">
      <c r="A112" s="16"/>
      <c r="B112" s="16"/>
      <c r="C112" s="18" t="str">
        <f>IF(B112="","",IFERROR(INDEX(Artistes!$B$2:$B$301,MATCH(B112,Artistes!$A$2:$A$301,0)),"ID inconnu"))</f>
        <v/>
      </c>
      <c r="D112" s="16"/>
      <c r="E112" s="18" t="str">
        <f>IF(D112="","",IFERROR(INDEX(Artistes!$B$2:$B$301,MATCH(D112,Artistes!$A$2:$A$301,0)),"ID inconnu"))</f>
        <v/>
      </c>
      <c r="F112" s="16"/>
      <c r="G112" s="16"/>
      <c r="H112" s="16"/>
    </row>
    <row r="113" spans="1:8" x14ac:dyDescent="0.25">
      <c r="A113" s="16"/>
      <c r="B113" s="16"/>
      <c r="C113" s="18" t="str">
        <f>IF(B113="","",IFERROR(INDEX(Artistes!$B$2:$B$301,MATCH(B113,Artistes!$A$2:$A$301,0)),"ID inconnu"))</f>
        <v/>
      </c>
      <c r="D113" s="16"/>
      <c r="E113" s="18" t="str">
        <f>IF(D113="","",IFERROR(INDEX(Artistes!$B$2:$B$301,MATCH(D113,Artistes!$A$2:$A$301,0)),"ID inconnu"))</f>
        <v/>
      </c>
      <c r="F113" s="16"/>
      <c r="G113" s="16"/>
      <c r="H113" s="16"/>
    </row>
    <row r="114" spans="1:8" x14ac:dyDescent="0.25">
      <c r="A114" s="16"/>
      <c r="B114" s="16"/>
      <c r="C114" s="18" t="str">
        <f>IF(B114="","",IFERROR(INDEX(Artistes!$B$2:$B$301,MATCH(B114,Artistes!$A$2:$A$301,0)),"ID inconnu"))</f>
        <v/>
      </c>
      <c r="D114" s="16"/>
      <c r="E114" s="18" t="str">
        <f>IF(D114="","",IFERROR(INDEX(Artistes!$B$2:$B$301,MATCH(D114,Artistes!$A$2:$A$301,0)),"ID inconnu"))</f>
        <v/>
      </c>
      <c r="F114" s="16"/>
      <c r="G114" s="16"/>
      <c r="H114" s="16"/>
    </row>
    <row r="115" spans="1:8" x14ac:dyDescent="0.25">
      <c r="A115" s="16"/>
      <c r="B115" s="16"/>
      <c r="C115" s="18" t="str">
        <f>IF(B115="","",IFERROR(INDEX(Artistes!$B$2:$B$301,MATCH(B115,Artistes!$A$2:$A$301,0)),"ID inconnu"))</f>
        <v/>
      </c>
      <c r="D115" s="16"/>
      <c r="E115" s="18" t="str">
        <f>IF(D115="","",IFERROR(INDEX(Artistes!$B$2:$B$301,MATCH(D115,Artistes!$A$2:$A$301,0)),"ID inconnu"))</f>
        <v/>
      </c>
      <c r="F115" s="16"/>
      <c r="G115" s="16"/>
      <c r="H115" s="16"/>
    </row>
    <row r="116" spans="1:8" x14ac:dyDescent="0.25">
      <c r="A116" s="16"/>
      <c r="B116" s="16"/>
      <c r="C116" s="18" t="str">
        <f>IF(B116="","",IFERROR(INDEX(Artistes!$B$2:$B$301,MATCH(B116,Artistes!$A$2:$A$301,0)),"ID inconnu"))</f>
        <v/>
      </c>
      <c r="D116" s="16"/>
      <c r="E116" s="18" t="str">
        <f>IF(D116="","",IFERROR(INDEX(Artistes!$B$2:$B$301,MATCH(D116,Artistes!$A$2:$A$301,0)),"ID inconnu"))</f>
        <v/>
      </c>
      <c r="F116" s="16"/>
      <c r="G116" s="16"/>
      <c r="H116" s="16"/>
    </row>
    <row r="117" spans="1:8" x14ac:dyDescent="0.25">
      <c r="A117" s="16"/>
      <c r="B117" s="16"/>
      <c r="C117" s="18" t="str">
        <f>IF(B117="","",IFERROR(INDEX(Artistes!$B$2:$B$301,MATCH(B117,Artistes!$A$2:$A$301,0)),"ID inconnu"))</f>
        <v/>
      </c>
      <c r="D117" s="16"/>
      <c r="E117" s="18" t="str">
        <f>IF(D117="","",IFERROR(INDEX(Artistes!$B$2:$B$301,MATCH(D117,Artistes!$A$2:$A$301,0)),"ID inconnu"))</f>
        <v/>
      </c>
      <c r="F117" s="16"/>
      <c r="G117" s="16"/>
      <c r="H117" s="16"/>
    </row>
    <row r="118" spans="1:8" x14ac:dyDescent="0.25">
      <c r="A118" s="16"/>
      <c r="B118" s="16"/>
      <c r="C118" s="18" t="str">
        <f>IF(B118="","",IFERROR(INDEX(Artistes!$B$2:$B$301,MATCH(B118,Artistes!$A$2:$A$301,0)),"ID inconnu"))</f>
        <v/>
      </c>
      <c r="D118" s="16"/>
      <c r="E118" s="18" t="str">
        <f>IF(D118="","",IFERROR(INDEX(Artistes!$B$2:$B$301,MATCH(D118,Artistes!$A$2:$A$301,0)),"ID inconnu"))</f>
        <v/>
      </c>
      <c r="F118" s="16"/>
      <c r="G118" s="16"/>
      <c r="H118" s="16"/>
    </row>
    <row r="119" spans="1:8" x14ac:dyDescent="0.25">
      <c r="A119" s="16"/>
      <c r="B119" s="16"/>
      <c r="C119" s="18" t="str">
        <f>IF(B119="","",IFERROR(INDEX(Artistes!$B$2:$B$301,MATCH(B119,Artistes!$A$2:$A$301,0)),"ID inconnu"))</f>
        <v/>
      </c>
      <c r="D119" s="16"/>
      <c r="E119" s="18" t="str">
        <f>IF(D119="","",IFERROR(INDEX(Artistes!$B$2:$B$301,MATCH(D119,Artistes!$A$2:$A$301,0)),"ID inconnu"))</f>
        <v/>
      </c>
      <c r="F119" s="16"/>
      <c r="G119" s="16"/>
      <c r="H119" s="16"/>
    </row>
    <row r="120" spans="1:8" x14ac:dyDescent="0.25">
      <c r="A120" s="16"/>
      <c r="B120" s="16"/>
      <c r="C120" s="18" t="str">
        <f>IF(B120="","",IFERROR(INDEX(Artistes!$B$2:$B$301,MATCH(B120,Artistes!$A$2:$A$301,0)),"ID inconnu"))</f>
        <v/>
      </c>
      <c r="D120" s="16"/>
      <c r="E120" s="18" t="str">
        <f>IF(D120="","",IFERROR(INDEX(Artistes!$B$2:$B$301,MATCH(D120,Artistes!$A$2:$A$301,0)),"ID inconnu"))</f>
        <v/>
      </c>
      <c r="F120" s="16"/>
      <c r="G120" s="16"/>
      <c r="H120" s="16"/>
    </row>
    <row r="121" spans="1:8" x14ac:dyDescent="0.25">
      <c r="A121" s="16"/>
      <c r="B121" s="16"/>
      <c r="C121" s="18" t="str">
        <f>IF(B121="","",IFERROR(INDEX(Artistes!$B$2:$B$301,MATCH(B121,Artistes!$A$2:$A$301,0)),"ID inconnu"))</f>
        <v/>
      </c>
      <c r="D121" s="16"/>
      <c r="E121" s="18" t="str">
        <f>IF(D121="","",IFERROR(INDEX(Artistes!$B$2:$B$301,MATCH(D121,Artistes!$A$2:$A$301,0)),"ID inconnu"))</f>
        <v/>
      </c>
      <c r="F121" s="16"/>
      <c r="G121" s="16"/>
      <c r="H121" s="16"/>
    </row>
    <row r="122" spans="1:8" x14ac:dyDescent="0.25">
      <c r="A122" s="16"/>
      <c r="B122" s="16"/>
      <c r="C122" s="18" t="str">
        <f>IF(B122="","",IFERROR(INDEX(Artistes!$B$2:$B$301,MATCH(B122,Artistes!$A$2:$A$301,0)),"ID inconnu"))</f>
        <v/>
      </c>
      <c r="D122" s="16"/>
      <c r="E122" s="18" t="str">
        <f>IF(D122="","",IFERROR(INDEX(Artistes!$B$2:$B$301,MATCH(D122,Artistes!$A$2:$A$301,0)),"ID inconnu"))</f>
        <v/>
      </c>
      <c r="F122" s="16"/>
      <c r="G122" s="16"/>
      <c r="H122" s="16"/>
    </row>
    <row r="123" spans="1:8" x14ac:dyDescent="0.25">
      <c r="A123" s="16"/>
      <c r="B123" s="16"/>
      <c r="C123" s="18" t="str">
        <f>IF(B123="","",IFERROR(INDEX(Artistes!$B$2:$B$301,MATCH(B123,Artistes!$A$2:$A$301,0)),"ID inconnu"))</f>
        <v/>
      </c>
      <c r="D123" s="16"/>
      <c r="E123" s="18" t="str">
        <f>IF(D123="","",IFERROR(INDEX(Artistes!$B$2:$B$301,MATCH(D123,Artistes!$A$2:$A$301,0)),"ID inconnu"))</f>
        <v/>
      </c>
      <c r="F123" s="16"/>
      <c r="G123" s="16"/>
      <c r="H123" s="16"/>
    </row>
    <row r="124" spans="1:8" x14ac:dyDescent="0.25">
      <c r="A124" s="16"/>
      <c r="B124" s="16"/>
      <c r="C124" s="18" t="str">
        <f>IF(B124="","",IFERROR(INDEX(Artistes!$B$2:$B$301,MATCH(B124,Artistes!$A$2:$A$301,0)),"ID inconnu"))</f>
        <v/>
      </c>
      <c r="D124" s="16"/>
      <c r="E124" s="18" t="str">
        <f>IF(D124="","",IFERROR(INDEX(Artistes!$B$2:$B$301,MATCH(D124,Artistes!$A$2:$A$301,0)),"ID inconnu"))</f>
        <v/>
      </c>
      <c r="F124" s="16"/>
      <c r="G124" s="16"/>
      <c r="H124" s="16"/>
    </row>
    <row r="125" spans="1:8" x14ac:dyDescent="0.25">
      <c r="A125" s="16"/>
      <c r="B125" s="16"/>
      <c r="C125" s="18" t="str">
        <f>IF(B125="","",IFERROR(INDEX(Artistes!$B$2:$B$301,MATCH(B125,Artistes!$A$2:$A$301,0)),"ID inconnu"))</f>
        <v/>
      </c>
      <c r="D125" s="16"/>
      <c r="E125" s="18" t="str">
        <f>IF(D125="","",IFERROR(INDEX(Artistes!$B$2:$B$301,MATCH(D125,Artistes!$A$2:$A$301,0)),"ID inconnu"))</f>
        <v/>
      </c>
      <c r="F125" s="16"/>
      <c r="G125" s="16"/>
      <c r="H125" s="16"/>
    </row>
    <row r="126" spans="1:8" x14ac:dyDescent="0.25">
      <c r="A126" s="16"/>
      <c r="B126" s="16"/>
      <c r="C126" s="18" t="str">
        <f>IF(B126="","",IFERROR(INDEX(Artistes!$B$2:$B$301,MATCH(B126,Artistes!$A$2:$A$301,0)),"ID inconnu"))</f>
        <v/>
      </c>
      <c r="D126" s="16"/>
      <c r="E126" s="18" t="str">
        <f>IF(D126="","",IFERROR(INDEX(Artistes!$B$2:$B$301,MATCH(D126,Artistes!$A$2:$A$301,0)),"ID inconnu"))</f>
        <v/>
      </c>
      <c r="F126" s="16"/>
      <c r="G126" s="16"/>
      <c r="H126" s="16"/>
    </row>
    <row r="127" spans="1:8" x14ac:dyDescent="0.25">
      <c r="A127" s="16"/>
      <c r="B127" s="16"/>
      <c r="C127" s="18" t="str">
        <f>IF(B127="","",IFERROR(INDEX(Artistes!$B$2:$B$301,MATCH(B127,Artistes!$A$2:$A$301,0)),"ID inconnu"))</f>
        <v/>
      </c>
      <c r="D127" s="16"/>
      <c r="E127" s="18" t="str">
        <f>IF(D127="","",IFERROR(INDEX(Artistes!$B$2:$B$301,MATCH(D127,Artistes!$A$2:$A$301,0)),"ID inconnu"))</f>
        <v/>
      </c>
      <c r="F127" s="16"/>
      <c r="G127" s="16"/>
      <c r="H127" s="16"/>
    </row>
    <row r="128" spans="1:8" x14ac:dyDescent="0.25">
      <c r="A128" s="16"/>
      <c r="B128" s="16"/>
      <c r="C128" s="18" t="str">
        <f>IF(B128="","",IFERROR(INDEX(Artistes!$B$2:$B$301,MATCH(B128,Artistes!$A$2:$A$301,0)),"ID inconnu"))</f>
        <v/>
      </c>
      <c r="D128" s="16"/>
      <c r="E128" s="18" t="str">
        <f>IF(D128="","",IFERROR(INDEX(Artistes!$B$2:$B$301,MATCH(D128,Artistes!$A$2:$A$301,0)),"ID inconnu"))</f>
        <v/>
      </c>
      <c r="F128" s="16"/>
      <c r="G128" s="16"/>
      <c r="H128" s="16"/>
    </row>
    <row r="129" spans="1:8" x14ac:dyDescent="0.25">
      <c r="A129" s="16"/>
      <c r="B129" s="16"/>
      <c r="C129" s="18" t="str">
        <f>IF(B129="","",IFERROR(INDEX(Artistes!$B$2:$B$301,MATCH(B129,Artistes!$A$2:$A$301,0)),"ID inconnu"))</f>
        <v/>
      </c>
      <c r="D129" s="16"/>
      <c r="E129" s="18" t="str">
        <f>IF(D129="","",IFERROR(INDEX(Artistes!$B$2:$B$301,MATCH(D129,Artistes!$A$2:$A$301,0)),"ID inconnu"))</f>
        <v/>
      </c>
      <c r="F129" s="16"/>
      <c r="G129" s="16"/>
      <c r="H129" s="16"/>
    </row>
    <row r="130" spans="1:8" x14ac:dyDescent="0.25">
      <c r="A130" s="16"/>
      <c r="B130" s="16"/>
      <c r="C130" s="18" t="str">
        <f>IF(B130="","",IFERROR(INDEX(Artistes!$B$2:$B$301,MATCH(B130,Artistes!$A$2:$A$301,0)),"ID inconnu"))</f>
        <v/>
      </c>
      <c r="D130" s="16"/>
      <c r="E130" s="18" t="str">
        <f>IF(D130="","",IFERROR(INDEX(Artistes!$B$2:$B$301,MATCH(D130,Artistes!$A$2:$A$301,0)),"ID inconnu"))</f>
        <v/>
      </c>
      <c r="F130" s="16"/>
      <c r="G130" s="16"/>
      <c r="H130" s="16"/>
    </row>
    <row r="131" spans="1:8" x14ac:dyDescent="0.25">
      <c r="A131" s="16"/>
      <c r="B131" s="16"/>
      <c r="C131" s="18" t="str">
        <f>IF(B131="","",IFERROR(INDEX(Artistes!$B$2:$B$301,MATCH(B131,Artistes!$A$2:$A$301,0)),"ID inconnu"))</f>
        <v/>
      </c>
      <c r="D131" s="16"/>
      <c r="E131" s="18" t="str">
        <f>IF(D131="","",IFERROR(INDEX(Artistes!$B$2:$B$301,MATCH(D131,Artistes!$A$2:$A$301,0)),"ID inconnu"))</f>
        <v/>
      </c>
      <c r="F131" s="16"/>
      <c r="G131" s="16"/>
      <c r="H131" s="16"/>
    </row>
    <row r="132" spans="1:8" x14ac:dyDescent="0.25">
      <c r="A132" s="16"/>
      <c r="B132" s="16"/>
      <c r="C132" s="18" t="str">
        <f>IF(B132="","",IFERROR(INDEX(Artistes!$B$2:$B$301,MATCH(B132,Artistes!$A$2:$A$301,0)),"ID inconnu"))</f>
        <v/>
      </c>
      <c r="D132" s="16"/>
      <c r="E132" s="18" t="str">
        <f>IF(D132="","",IFERROR(INDEX(Artistes!$B$2:$B$301,MATCH(D132,Artistes!$A$2:$A$301,0)),"ID inconnu"))</f>
        <v/>
      </c>
      <c r="F132" s="16"/>
      <c r="G132" s="16"/>
      <c r="H132" s="16"/>
    </row>
    <row r="133" spans="1:8" x14ac:dyDescent="0.25">
      <c r="A133" s="16"/>
      <c r="B133" s="16"/>
      <c r="C133" s="18" t="str">
        <f>IF(B133="","",IFERROR(INDEX(Artistes!$B$2:$B$301,MATCH(B133,Artistes!$A$2:$A$301,0)),"ID inconnu"))</f>
        <v/>
      </c>
      <c r="D133" s="16"/>
      <c r="E133" s="18" t="str">
        <f>IF(D133="","",IFERROR(INDEX(Artistes!$B$2:$B$301,MATCH(D133,Artistes!$A$2:$A$301,0)),"ID inconnu"))</f>
        <v/>
      </c>
      <c r="F133" s="16"/>
      <c r="G133" s="16"/>
      <c r="H133" s="16"/>
    </row>
    <row r="134" spans="1:8" x14ac:dyDescent="0.25">
      <c r="A134" s="16"/>
      <c r="B134" s="16"/>
      <c r="C134" s="18" t="str">
        <f>IF(B134="","",IFERROR(INDEX(Artistes!$B$2:$B$301,MATCH(B134,Artistes!$A$2:$A$301,0)),"ID inconnu"))</f>
        <v/>
      </c>
      <c r="D134" s="16"/>
      <c r="E134" s="18" t="str">
        <f>IF(D134="","",IFERROR(INDEX(Artistes!$B$2:$B$301,MATCH(D134,Artistes!$A$2:$A$301,0)),"ID inconnu"))</f>
        <v/>
      </c>
      <c r="F134" s="16"/>
      <c r="G134" s="16"/>
      <c r="H134" s="16"/>
    </row>
    <row r="135" spans="1:8" x14ac:dyDescent="0.25">
      <c r="A135" s="16"/>
      <c r="B135" s="16"/>
      <c r="C135" s="18" t="str">
        <f>IF(B135="","",IFERROR(INDEX(Artistes!$B$2:$B$301,MATCH(B135,Artistes!$A$2:$A$301,0)),"ID inconnu"))</f>
        <v/>
      </c>
      <c r="D135" s="16"/>
      <c r="E135" s="18" t="str">
        <f>IF(D135="","",IFERROR(INDEX(Artistes!$B$2:$B$301,MATCH(D135,Artistes!$A$2:$A$301,0)),"ID inconnu"))</f>
        <v/>
      </c>
      <c r="F135" s="16"/>
      <c r="G135" s="16"/>
      <c r="H135" s="16"/>
    </row>
    <row r="136" spans="1:8" x14ac:dyDescent="0.25">
      <c r="A136" s="16"/>
      <c r="B136" s="16"/>
      <c r="C136" s="18" t="str">
        <f>IF(B136="","",IFERROR(INDEX(Artistes!$B$2:$B$301,MATCH(B136,Artistes!$A$2:$A$301,0)),"ID inconnu"))</f>
        <v/>
      </c>
      <c r="D136" s="16"/>
      <c r="E136" s="18" t="str">
        <f>IF(D136="","",IFERROR(INDEX(Artistes!$B$2:$B$301,MATCH(D136,Artistes!$A$2:$A$301,0)),"ID inconnu"))</f>
        <v/>
      </c>
      <c r="F136" s="16"/>
      <c r="G136" s="16"/>
      <c r="H136" s="16"/>
    </row>
    <row r="137" spans="1:8" x14ac:dyDescent="0.25">
      <c r="A137" s="16"/>
      <c r="B137" s="16"/>
      <c r="C137" s="18" t="str">
        <f>IF(B137="","",IFERROR(INDEX(Artistes!$B$2:$B$301,MATCH(B137,Artistes!$A$2:$A$301,0)),"ID inconnu"))</f>
        <v/>
      </c>
      <c r="D137" s="16"/>
      <c r="E137" s="18" t="str">
        <f>IF(D137="","",IFERROR(INDEX(Artistes!$B$2:$B$301,MATCH(D137,Artistes!$A$2:$A$301,0)),"ID inconnu"))</f>
        <v/>
      </c>
      <c r="F137" s="16"/>
      <c r="G137" s="16"/>
      <c r="H137" s="16"/>
    </row>
    <row r="138" spans="1:8" x14ac:dyDescent="0.25">
      <c r="A138" s="16"/>
      <c r="B138" s="16"/>
      <c r="C138" s="18" t="str">
        <f>IF(B138="","",IFERROR(INDEX(Artistes!$B$2:$B$301,MATCH(B138,Artistes!$A$2:$A$301,0)),"ID inconnu"))</f>
        <v/>
      </c>
      <c r="D138" s="16"/>
      <c r="E138" s="18" t="str">
        <f>IF(D138="","",IFERROR(INDEX(Artistes!$B$2:$B$301,MATCH(D138,Artistes!$A$2:$A$301,0)),"ID inconnu"))</f>
        <v/>
      </c>
      <c r="F138" s="16"/>
      <c r="G138" s="16"/>
      <c r="H138" s="16"/>
    </row>
    <row r="139" spans="1:8" x14ac:dyDescent="0.25">
      <c r="A139" s="16"/>
      <c r="B139" s="16"/>
      <c r="C139" s="18" t="str">
        <f>IF(B139="","",IFERROR(INDEX(Artistes!$B$2:$B$301,MATCH(B139,Artistes!$A$2:$A$301,0)),"ID inconnu"))</f>
        <v/>
      </c>
      <c r="D139" s="16"/>
      <c r="E139" s="18" t="str">
        <f>IF(D139="","",IFERROR(INDEX(Artistes!$B$2:$B$301,MATCH(D139,Artistes!$A$2:$A$301,0)),"ID inconnu"))</f>
        <v/>
      </c>
      <c r="F139" s="16"/>
      <c r="G139" s="16"/>
      <c r="H139" s="16"/>
    </row>
    <row r="140" spans="1:8" x14ac:dyDescent="0.25">
      <c r="A140" s="16"/>
      <c r="B140" s="16"/>
      <c r="C140" s="18" t="str">
        <f>IF(B140="","",IFERROR(INDEX(Artistes!$B$2:$B$301,MATCH(B140,Artistes!$A$2:$A$301,0)),"ID inconnu"))</f>
        <v/>
      </c>
      <c r="D140" s="16"/>
      <c r="E140" s="18" t="str">
        <f>IF(D140="","",IFERROR(INDEX(Artistes!$B$2:$B$301,MATCH(D140,Artistes!$A$2:$A$301,0)),"ID inconnu"))</f>
        <v/>
      </c>
      <c r="F140" s="16"/>
      <c r="G140" s="16"/>
      <c r="H140" s="16"/>
    </row>
    <row r="141" spans="1:8" x14ac:dyDescent="0.25">
      <c r="A141" s="16"/>
      <c r="B141" s="16"/>
      <c r="C141" s="18" t="str">
        <f>IF(B141="","",IFERROR(INDEX(Artistes!$B$2:$B$301,MATCH(B141,Artistes!$A$2:$A$301,0)),"ID inconnu"))</f>
        <v/>
      </c>
      <c r="D141" s="16"/>
      <c r="E141" s="18" t="str">
        <f>IF(D141="","",IFERROR(INDEX(Artistes!$B$2:$B$301,MATCH(D141,Artistes!$A$2:$A$301,0)),"ID inconnu"))</f>
        <v/>
      </c>
      <c r="F141" s="16"/>
      <c r="G141" s="16"/>
      <c r="H141" s="16"/>
    </row>
    <row r="142" spans="1:8" x14ac:dyDescent="0.25">
      <c r="A142" s="16"/>
      <c r="B142" s="16"/>
      <c r="C142" s="18" t="str">
        <f>IF(B142="","",IFERROR(INDEX(Artistes!$B$2:$B$301,MATCH(B142,Artistes!$A$2:$A$301,0)),"ID inconnu"))</f>
        <v/>
      </c>
      <c r="D142" s="16"/>
      <c r="E142" s="18" t="str">
        <f>IF(D142="","",IFERROR(INDEX(Artistes!$B$2:$B$301,MATCH(D142,Artistes!$A$2:$A$301,0)),"ID inconnu"))</f>
        <v/>
      </c>
      <c r="F142" s="16"/>
      <c r="G142" s="16"/>
      <c r="H142" s="16"/>
    </row>
    <row r="143" spans="1:8" x14ac:dyDescent="0.25">
      <c r="A143" s="16"/>
      <c r="B143" s="16"/>
      <c r="C143" s="18" t="str">
        <f>IF(B143="","",IFERROR(INDEX(Artistes!$B$2:$B$301,MATCH(B143,Artistes!$A$2:$A$301,0)),"ID inconnu"))</f>
        <v/>
      </c>
      <c r="D143" s="16"/>
      <c r="E143" s="18" t="str">
        <f>IF(D143="","",IFERROR(INDEX(Artistes!$B$2:$B$301,MATCH(D143,Artistes!$A$2:$A$301,0)),"ID inconnu"))</f>
        <v/>
      </c>
      <c r="F143" s="16"/>
      <c r="G143" s="16"/>
      <c r="H143" s="16"/>
    </row>
    <row r="144" spans="1:8" x14ac:dyDescent="0.25">
      <c r="A144" s="16"/>
      <c r="B144" s="16"/>
      <c r="C144" s="18" t="str">
        <f>IF(B144="","",IFERROR(INDEX(Artistes!$B$2:$B$301,MATCH(B144,Artistes!$A$2:$A$301,0)),"ID inconnu"))</f>
        <v/>
      </c>
      <c r="D144" s="16"/>
      <c r="E144" s="18" t="str">
        <f>IF(D144="","",IFERROR(INDEX(Artistes!$B$2:$B$301,MATCH(D144,Artistes!$A$2:$A$301,0)),"ID inconnu"))</f>
        <v/>
      </c>
      <c r="F144" s="16"/>
      <c r="G144" s="16"/>
      <c r="H144" s="16"/>
    </row>
    <row r="145" spans="1:8" x14ac:dyDescent="0.25">
      <c r="A145" s="16"/>
      <c r="B145" s="16"/>
      <c r="C145" s="18" t="str">
        <f>IF(B145="","",IFERROR(INDEX(Artistes!$B$2:$B$301,MATCH(B145,Artistes!$A$2:$A$301,0)),"ID inconnu"))</f>
        <v/>
      </c>
      <c r="D145" s="16"/>
      <c r="E145" s="18" t="str">
        <f>IF(D145="","",IFERROR(INDEX(Artistes!$B$2:$B$301,MATCH(D145,Artistes!$A$2:$A$301,0)),"ID inconnu"))</f>
        <v/>
      </c>
      <c r="F145" s="16"/>
      <c r="G145" s="16"/>
      <c r="H145" s="16"/>
    </row>
    <row r="146" spans="1:8" x14ac:dyDescent="0.25">
      <c r="A146" s="16"/>
      <c r="B146" s="16"/>
      <c r="C146" s="18" t="str">
        <f>IF(B146="","",IFERROR(INDEX(Artistes!$B$2:$B$301,MATCH(B146,Artistes!$A$2:$A$301,0)),"ID inconnu"))</f>
        <v/>
      </c>
      <c r="D146" s="16"/>
      <c r="E146" s="18" t="str">
        <f>IF(D146="","",IFERROR(INDEX(Artistes!$B$2:$B$301,MATCH(D146,Artistes!$A$2:$A$301,0)),"ID inconnu"))</f>
        <v/>
      </c>
      <c r="F146" s="16"/>
      <c r="G146" s="16"/>
      <c r="H146" s="16"/>
    </row>
    <row r="147" spans="1:8" x14ac:dyDescent="0.25">
      <c r="A147" s="16"/>
      <c r="B147" s="16"/>
      <c r="C147" s="18" t="str">
        <f>IF(B147="","",IFERROR(INDEX(Artistes!$B$2:$B$301,MATCH(B147,Artistes!$A$2:$A$301,0)),"ID inconnu"))</f>
        <v/>
      </c>
      <c r="D147" s="16"/>
      <c r="E147" s="18" t="str">
        <f>IF(D147="","",IFERROR(INDEX(Artistes!$B$2:$B$301,MATCH(D147,Artistes!$A$2:$A$301,0)),"ID inconnu"))</f>
        <v/>
      </c>
      <c r="F147" s="16"/>
      <c r="G147" s="16"/>
      <c r="H147" s="16"/>
    </row>
    <row r="148" spans="1:8" x14ac:dyDescent="0.25">
      <c r="A148" s="16"/>
      <c r="B148" s="16"/>
      <c r="C148" s="18" t="str">
        <f>IF(B148="","",IFERROR(INDEX(Artistes!$B$2:$B$301,MATCH(B148,Artistes!$A$2:$A$301,0)),"ID inconnu"))</f>
        <v/>
      </c>
      <c r="D148" s="16"/>
      <c r="E148" s="18" t="str">
        <f>IF(D148="","",IFERROR(INDEX(Artistes!$B$2:$B$301,MATCH(D148,Artistes!$A$2:$A$301,0)),"ID inconnu"))</f>
        <v/>
      </c>
      <c r="F148" s="16"/>
      <c r="G148" s="16"/>
      <c r="H148" s="16"/>
    </row>
    <row r="149" spans="1:8" x14ac:dyDescent="0.25">
      <c r="A149" s="16"/>
      <c r="B149" s="16"/>
      <c r="C149" s="18" t="str">
        <f>IF(B149="","",IFERROR(INDEX(Artistes!$B$2:$B$301,MATCH(B149,Artistes!$A$2:$A$301,0)),"ID inconnu"))</f>
        <v/>
      </c>
      <c r="D149" s="16"/>
      <c r="E149" s="18" t="str">
        <f>IF(D149="","",IFERROR(INDEX(Artistes!$B$2:$B$301,MATCH(D149,Artistes!$A$2:$A$301,0)),"ID inconnu"))</f>
        <v/>
      </c>
      <c r="F149" s="16"/>
      <c r="G149" s="16"/>
      <c r="H149" s="16"/>
    </row>
    <row r="150" spans="1:8" x14ac:dyDescent="0.25">
      <c r="A150" s="16"/>
      <c r="B150" s="16"/>
      <c r="C150" s="18" t="str">
        <f>IF(B150="","",IFERROR(INDEX(Artistes!$B$2:$B$301,MATCH(B150,Artistes!$A$2:$A$301,0)),"ID inconnu"))</f>
        <v/>
      </c>
      <c r="D150" s="16"/>
      <c r="E150" s="18" t="str">
        <f>IF(D150="","",IFERROR(INDEX(Artistes!$B$2:$B$301,MATCH(D150,Artistes!$A$2:$A$301,0)),"ID inconnu"))</f>
        <v/>
      </c>
      <c r="F150" s="16"/>
      <c r="G150" s="16"/>
      <c r="H150" s="16"/>
    </row>
    <row r="151" spans="1:8" x14ac:dyDescent="0.25">
      <c r="A151" s="16"/>
      <c r="B151" s="16"/>
      <c r="C151" s="18" t="str">
        <f>IF(B151="","",IFERROR(INDEX(Artistes!$B$2:$B$301,MATCH(B151,Artistes!$A$2:$A$301,0)),"ID inconnu"))</f>
        <v/>
      </c>
      <c r="D151" s="16"/>
      <c r="E151" s="18" t="str">
        <f>IF(D151="","",IFERROR(INDEX(Artistes!$B$2:$B$301,MATCH(D151,Artistes!$A$2:$A$301,0)),"ID inconnu"))</f>
        <v/>
      </c>
      <c r="F151" s="16"/>
      <c r="G151" s="16"/>
      <c r="H151" s="16"/>
    </row>
    <row r="152" spans="1:8" x14ac:dyDescent="0.25">
      <c r="A152" s="16"/>
      <c r="B152" s="16"/>
      <c r="C152" s="18" t="str">
        <f>IF(B152="","",IFERROR(INDEX(Artistes!$B$2:$B$301,MATCH(B152,Artistes!$A$2:$A$301,0)),"ID inconnu"))</f>
        <v/>
      </c>
      <c r="D152" s="16"/>
      <c r="E152" s="18" t="str">
        <f>IF(D152="","",IFERROR(INDEX(Artistes!$B$2:$B$301,MATCH(D152,Artistes!$A$2:$A$301,0)),"ID inconnu"))</f>
        <v/>
      </c>
      <c r="F152" s="16"/>
      <c r="G152" s="16"/>
      <c r="H152" s="16"/>
    </row>
    <row r="153" spans="1:8" x14ac:dyDescent="0.25">
      <c r="A153" s="16"/>
      <c r="B153" s="16"/>
      <c r="C153" s="18" t="str">
        <f>IF(B153="","",IFERROR(INDEX(Artistes!$B$2:$B$301,MATCH(B153,Artistes!$A$2:$A$301,0)),"ID inconnu"))</f>
        <v/>
      </c>
      <c r="D153" s="16"/>
      <c r="E153" s="18" t="str">
        <f>IF(D153="","",IFERROR(INDEX(Artistes!$B$2:$B$301,MATCH(D153,Artistes!$A$2:$A$301,0)),"ID inconnu"))</f>
        <v/>
      </c>
      <c r="F153" s="16"/>
      <c r="G153" s="16"/>
      <c r="H153" s="16"/>
    </row>
    <row r="154" spans="1:8" x14ac:dyDescent="0.25">
      <c r="A154" s="16"/>
      <c r="B154" s="16"/>
      <c r="C154" s="18" t="str">
        <f>IF(B154="","",IFERROR(INDEX(Artistes!$B$2:$B$301,MATCH(B154,Artistes!$A$2:$A$301,0)),"ID inconnu"))</f>
        <v/>
      </c>
      <c r="D154" s="16"/>
      <c r="E154" s="18" t="str">
        <f>IF(D154="","",IFERROR(INDEX(Artistes!$B$2:$B$301,MATCH(D154,Artistes!$A$2:$A$301,0)),"ID inconnu"))</f>
        <v/>
      </c>
      <c r="F154" s="16"/>
      <c r="G154" s="16"/>
      <c r="H154" s="16"/>
    </row>
    <row r="155" spans="1:8" x14ac:dyDescent="0.25">
      <c r="A155" s="16"/>
      <c r="B155" s="16"/>
      <c r="C155" s="18" t="str">
        <f>IF(B155="","",IFERROR(INDEX(Artistes!$B$2:$B$301,MATCH(B155,Artistes!$A$2:$A$301,0)),"ID inconnu"))</f>
        <v/>
      </c>
      <c r="D155" s="16"/>
      <c r="E155" s="18" t="str">
        <f>IF(D155="","",IFERROR(INDEX(Artistes!$B$2:$B$301,MATCH(D155,Artistes!$A$2:$A$301,0)),"ID inconnu"))</f>
        <v/>
      </c>
      <c r="F155" s="16"/>
      <c r="G155" s="16"/>
      <c r="H155" s="16"/>
    </row>
    <row r="156" spans="1:8" x14ac:dyDescent="0.25">
      <c r="A156" s="16"/>
      <c r="B156" s="16"/>
      <c r="C156" s="18" t="str">
        <f>IF(B156="","",IFERROR(INDEX(Artistes!$B$2:$B$301,MATCH(B156,Artistes!$A$2:$A$301,0)),"ID inconnu"))</f>
        <v/>
      </c>
      <c r="D156" s="16"/>
      <c r="E156" s="18" t="str">
        <f>IF(D156="","",IFERROR(INDEX(Artistes!$B$2:$B$301,MATCH(D156,Artistes!$A$2:$A$301,0)),"ID inconnu"))</f>
        <v/>
      </c>
      <c r="F156" s="16"/>
      <c r="G156" s="16"/>
      <c r="H156" s="16"/>
    </row>
    <row r="157" spans="1:8" x14ac:dyDescent="0.25">
      <c r="A157" s="16"/>
      <c r="B157" s="16"/>
      <c r="C157" s="18" t="str">
        <f>IF(B157="","",IFERROR(INDEX(Artistes!$B$2:$B$301,MATCH(B157,Artistes!$A$2:$A$301,0)),"ID inconnu"))</f>
        <v/>
      </c>
      <c r="D157" s="16"/>
      <c r="E157" s="18" t="str">
        <f>IF(D157="","",IFERROR(INDEX(Artistes!$B$2:$B$301,MATCH(D157,Artistes!$A$2:$A$301,0)),"ID inconnu"))</f>
        <v/>
      </c>
      <c r="F157" s="16"/>
      <c r="G157" s="16"/>
      <c r="H157" s="16"/>
    </row>
    <row r="158" spans="1:8" x14ac:dyDescent="0.25">
      <c r="A158" s="16"/>
      <c r="B158" s="16"/>
      <c r="C158" s="18" t="str">
        <f>IF(B158="","",IFERROR(INDEX(Artistes!$B$2:$B$301,MATCH(B158,Artistes!$A$2:$A$301,0)),"ID inconnu"))</f>
        <v/>
      </c>
      <c r="D158" s="16"/>
      <c r="E158" s="18" t="str">
        <f>IF(D158="","",IFERROR(INDEX(Artistes!$B$2:$B$301,MATCH(D158,Artistes!$A$2:$A$301,0)),"ID inconnu"))</f>
        <v/>
      </c>
      <c r="F158" s="16"/>
      <c r="G158" s="16"/>
      <c r="H158" s="16"/>
    </row>
    <row r="159" spans="1:8" x14ac:dyDescent="0.25">
      <c r="A159" s="16"/>
      <c r="B159" s="16"/>
      <c r="C159" s="18" t="str">
        <f>IF(B159="","",IFERROR(INDEX(Artistes!$B$2:$B$301,MATCH(B159,Artistes!$A$2:$A$301,0)),"ID inconnu"))</f>
        <v/>
      </c>
      <c r="D159" s="16"/>
      <c r="E159" s="18" t="str">
        <f>IF(D159="","",IFERROR(INDEX(Artistes!$B$2:$B$301,MATCH(D159,Artistes!$A$2:$A$301,0)),"ID inconnu"))</f>
        <v/>
      </c>
      <c r="F159" s="16"/>
      <c r="G159" s="16"/>
      <c r="H159" s="16"/>
    </row>
    <row r="160" spans="1:8" x14ac:dyDescent="0.25">
      <c r="A160" s="16"/>
      <c r="B160" s="16"/>
      <c r="C160" s="18" t="str">
        <f>IF(B160="","",IFERROR(INDEX(Artistes!$B$2:$B$301,MATCH(B160,Artistes!$A$2:$A$301,0)),"ID inconnu"))</f>
        <v/>
      </c>
      <c r="D160" s="16"/>
      <c r="E160" s="18" t="str">
        <f>IF(D160="","",IFERROR(INDEX(Artistes!$B$2:$B$301,MATCH(D160,Artistes!$A$2:$A$301,0)),"ID inconnu"))</f>
        <v/>
      </c>
      <c r="F160" s="16"/>
      <c r="G160" s="16"/>
      <c r="H160" s="16"/>
    </row>
    <row r="161" spans="1:8" x14ac:dyDescent="0.25">
      <c r="A161" s="16"/>
      <c r="B161" s="16"/>
      <c r="C161" s="18" t="str">
        <f>IF(B161="","",IFERROR(INDEX(Artistes!$B$2:$B$301,MATCH(B161,Artistes!$A$2:$A$301,0)),"ID inconnu"))</f>
        <v/>
      </c>
      <c r="D161" s="16"/>
      <c r="E161" s="18" t="str">
        <f>IF(D161="","",IFERROR(INDEX(Artistes!$B$2:$B$301,MATCH(D161,Artistes!$A$2:$A$301,0)),"ID inconnu"))</f>
        <v/>
      </c>
      <c r="F161" s="16"/>
      <c r="G161" s="16"/>
      <c r="H161" s="16"/>
    </row>
    <row r="162" spans="1:8" x14ac:dyDescent="0.25">
      <c r="A162" s="16"/>
      <c r="B162" s="16"/>
      <c r="C162" s="18" t="str">
        <f>IF(B162="","",IFERROR(INDEX(Artistes!$B$2:$B$301,MATCH(B162,Artistes!$A$2:$A$301,0)),"ID inconnu"))</f>
        <v/>
      </c>
      <c r="D162" s="16"/>
      <c r="E162" s="18" t="str">
        <f>IF(D162="","",IFERROR(INDEX(Artistes!$B$2:$B$301,MATCH(D162,Artistes!$A$2:$A$301,0)),"ID inconnu"))</f>
        <v/>
      </c>
      <c r="F162" s="16"/>
      <c r="G162" s="16"/>
      <c r="H162" s="16"/>
    </row>
    <row r="163" spans="1:8" x14ac:dyDescent="0.25">
      <c r="A163" s="16"/>
      <c r="B163" s="16"/>
      <c r="C163" s="18" t="str">
        <f>IF(B163="","",IFERROR(INDEX(Artistes!$B$2:$B$301,MATCH(B163,Artistes!$A$2:$A$301,0)),"ID inconnu"))</f>
        <v/>
      </c>
      <c r="D163" s="16"/>
      <c r="E163" s="18" t="str">
        <f>IF(D163="","",IFERROR(INDEX(Artistes!$B$2:$B$301,MATCH(D163,Artistes!$A$2:$A$301,0)),"ID inconnu"))</f>
        <v/>
      </c>
      <c r="F163" s="16"/>
      <c r="G163" s="16"/>
      <c r="H163" s="16"/>
    </row>
    <row r="164" spans="1:8" x14ac:dyDescent="0.25">
      <c r="A164" s="16"/>
      <c r="B164" s="16"/>
      <c r="C164" s="18" t="str">
        <f>IF(B164="","",IFERROR(INDEX(Artistes!$B$2:$B$301,MATCH(B164,Artistes!$A$2:$A$301,0)),"ID inconnu"))</f>
        <v/>
      </c>
      <c r="D164" s="16"/>
      <c r="E164" s="18" t="str">
        <f>IF(D164="","",IFERROR(INDEX(Artistes!$B$2:$B$301,MATCH(D164,Artistes!$A$2:$A$301,0)),"ID inconnu"))</f>
        <v/>
      </c>
      <c r="F164" s="16"/>
      <c r="G164" s="16"/>
      <c r="H164" s="16"/>
    </row>
    <row r="165" spans="1:8" x14ac:dyDescent="0.25">
      <c r="A165" s="16"/>
      <c r="B165" s="16"/>
      <c r="C165" s="18" t="str">
        <f>IF(B165="","",IFERROR(INDEX(Artistes!$B$2:$B$301,MATCH(B165,Artistes!$A$2:$A$301,0)),"ID inconnu"))</f>
        <v/>
      </c>
      <c r="D165" s="16"/>
      <c r="E165" s="18" t="str">
        <f>IF(D165="","",IFERROR(INDEX(Artistes!$B$2:$B$301,MATCH(D165,Artistes!$A$2:$A$301,0)),"ID inconnu"))</f>
        <v/>
      </c>
      <c r="F165" s="16"/>
      <c r="G165" s="16"/>
      <c r="H165" s="16"/>
    </row>
    <row r="166" spans="1:8" x14ac:dyDescent="0.25">
      <c r="A166" s="16"/>
      <c r="B166" s="16"/>
      <c r="C166" s="18" t="str">
        <f>IF(B166="","",IFERROR(INDEX(Artistes!$B$2:$B$301,MATCH(B166,Artistes!$A$2:$A$301,0)),"ID inconnu"))</f>
        <v/>
      </c>
      <c r="D166" s="16"/>
      <c r="E166" s="18" t="str">
        <f>IF(D166="","",IFERROR(INDEX(Artistes!$B$2:$B$301,MATCH(D166,Artistes!$A$2:$A$301,0)),"ID inconnu"))</f>
        <v/>
      </c>
      <c r="F166" s="16"/>
      <c r="G166" s="16"/>
      <c r="H166" s="16"/>
    </row>
    <row r="167" spans="1:8" x14ac:dyDescent="0.25">
      <c r="A167" s="16"/>
      <c r="B167" s="16"/>
      <c r="C167" s="18" t="str">
        <f>IF(B167="","",IFERROR(INDEX(Artistes!$B$2:$B$301,MATCH(B167,Artistes!$A$2:$A$301,0)),"ID inconnu"))</f>
        <v/>
      </c>
      <c r="D167" s="16"/>
      <c r="E167" s="18" t="str">
        <f>IF(D167="","",IFERROR(INDEX(Artistes!$B$2:$B$301,MATCH(D167,Artistes!$A$2:$A$301,0)),"ID inconnu"))</f>
        <v/>
      </c>
      <c r="F167" s="16"/>
      <c r="G167" s="16"/>
      <c r="H167" s="16"/>
    </row>
    <row r="168" spans="1:8" x14ac:dyDescent="0.25">
      <c r="A168" s="16"/>
      <c r="B168" s="16"/>
      <c r="C168" s="18" t="str">
        <f>IF(B168="","",IFERROR(INDEX(Artistes!$B$2:$B$301,MATCH(B168,Artistes!$A$2:$A$301,0)),"ID inconnu"))</f>
        <v/>
      </c>
      <c r="D168" s="16"/>
      <c r="E168" s="18" t="str">
        <f>IF(D168="","",IFERROR(INDEX(Artistes!$B$2:$B$301,MATCH(D168,Artistes!$A$2:$A$301,0)),"ID inconnu"))</f>
        <v/>
      </c>
      <c r="F168" s="16"/>
      <c r="G168" s="16"/>
      <c r="H168" s="16"/>
    </row>
    <row r="169" spans="1:8" x14ac:dyDescent="0.25">
      <c r="A169" s="16"/>
      <c r="B169" s="16"/>
      <c r="C169" s="18" t="str">
        <f>IF(B169="","",IFERROR(INDEX(Artistes!$B$2:$B$301,MATCH(B169,Artistes!$A$2:$A$301,0)),"ID inconnu"))</f>
        <v/>
      </c>
      <c r="D169" s="16"/>
      <c r="E169" s="18" t="str">
        <f>IF(D169="","",IFERROR(INDEX(Artistes!$B$2:$B$301,MATCH(D169,Artistes!$A$2:$A$301,0)),"ID inconnu"))</f>
        <v/>
      </c>
      <c r="F169" s="16"/>
      <c r="G169" s="16"/>
      <c r="H169" s="16"/>
    </row>
    <row r="170" spans="1:8" x14ac:dyDescent="0.25">
      <c r="A170" s="16"/>
      <c r="B170" s="16"/>
      <c r="C170" s="18" t="str">
        <f>IF(B170="","",IFERROR(INDEX(Artistes!$B$2:$B$301,MATCH(B170,Artistes!$A$2:$A$301,0)),"ID inconnu"))</f>
        <v/>
      </c>
      <c r="D170" s="16"/>
      <c r="E170" s="18" t="str">
        <f>IF(D170="","",IFERROR(INDEX(Artistes!$B$2:$B$301,MATCH(D170,Artistes!$A$2:$A$301,0)),"ID inconnu"))</f>
        <v/>
      </c>
      <c r="F170" s="16"/>
      <c r="G170" s="16"/>
      <c r="H170" s="16"/>
    </row>
    <row r="171" spans="1:8" x14ac:dyDescent="0.25">
      <c r="A171" s="16"/>
      <c r="B171" s="16"/>
      <c r="C171" s="18" t="str">
        <f>IF(B171="","",IFERROR(INDEX(Artistes!$B$2:$B$301,MATCH(B171,Artistes!$A$2:$A$301,0)),"ID inconnu"))</f>
        <v/>
      </c>
      <c r="D171" s="16"/>
      <c r="E171" s="18" t="str">
        <f>IF(D171="","",IFERROR(INDEX(Artistes!$B$2:$B$301,MATCH(D171,Artistes!$A$2:$A$301,0)),"ID inconnu"))</f>
        <v/>
      </c>
      <c r="F171" s="16"/>
      <c r="G171" s="16"/>
      <c r="H171" s="16"/>
    </row>
    <row r="172" spans="1:8" x14ac:dyDescent="0.25">
      <c r="A172" s="16"/>
      <c r="B172" s="16"/>
      <c r="C172" s="18" t="str">
        <f>IF(B172="","",IFERROR(INDEX(Artistes!$B$2:$B$301,MATCH(B172,Artistes!$A$2:$A$301,0)),"ID inconnu"))</f>
        <v/>
      </c>
      <c r="D172" s="16"/>
      <c r="E172" s="18" t="str">
        <f>IF(D172="","",IFERROR(INDEX(Artistes!$B$2:$B$301,MATCH(D172,Artistes!$A$2:$A$301,0)),"ID inconnu"))</f>
        <v/>
      </c>
      <c r="F172" s="16"/>
      <c r="G172" s="16"/>
      <c r="H172" s="16"/>
    </row>
    <row r="173" spans="1:8" x14ac:dyDescent="0.25">
      <c r="A173" s="16"/>
      <c r="B173" s="16"/>
      <c r="C173" s="18" t="str">
        <f>IF(B173="","",IFERROR(INDEX(Artistes!$B$2:$B$301,MATCH(B173,Artistes!$A$2:$A$301,0)),"ID inconnu"))</f>
        <v/>
      </c>
      <c r="D173" s="16"/>
      <c r="E173" s="18" t="str">
        <f>IF(D173="","",IFERROR(INDEX(Artistes!$B$2:$B$301,MATCH(D173,Artistes!$A$2:$A$301,0)),"ID inconnu"))</f>
        <v/>
      </c>
      <c r="F173" s="16"/>
      <c r="G173" s="16"/>
      <c r="H173" s="16"/>
    </row>
    <row r="174" spans="1:8" x14ac:dyDescent="0.25">
      <c r="A174" s="16"/>
      <c r="B174" s="16"/>
      <c r="C174" s="18" t="str">
        <f>IF(B174="","",IFERROR(INDEX(Artistes!$B$2:$B$301,MATCH(B174,Artistes!$A$2:$A$301,0)),"ID inconnu"))</f>
        <v/>
      </c>
      <c r="D174" s="16"/>
      <c r="E174" s="18" t="str">
        <f>IF(D174="","",IFERROR(INDEX(Artistes!$B$2:$B$301,MATCH(D174,Artistes!$A$2:$A$301,0)),"ID inconnu"))</f>
        <v/>
      </c>
      <c r="F174" s="16"/>
      <c r="G174" s="16"/>
      <c r="H174" s="16"/>
    </row>
    <row r="175" spans="1:8" x14ac:dyDescent="0.25">
      <c r="A175" s="16"/>
      <c r="B175" s="16"/>
      <c r="C175" s="18" t="str">
        <f>IF(B175="","",IFERROR(INDEX(Artistes!$B$2:$B$301,MATCH(B175,Artistes!$A$2:$A$301,0)),"ID inconnu"))</f>
        <v/>
      </c>
      <c r="D175" s="16"/>
      <c r="E175" s="18" t="str">
        <f>IF(D175="","",IFERROR(INDEX(Artistes!$B$2:$B$301,MATCH(D175,Artistes!$A$2:$A$301,0)),"ID inconnu"))</f>
        <v/>
      </c>
      <c r="F175" s="16"/>
      <c r="G175" s="16"/>
      <c r="H175" s="16"/>
    </row>
    <row r="176" spans="1:8" x14ac:dyDescent="0.25">
      <c r="A176" s="16"/>
      <c r="B176" s="16"/>
      <c r="C176" s="18" t="str">
        <f>IF(B176="","",IFERROR(INDEX(Artistes!$B$2:$B$301,MATCH(B176,Artistes!$A$2:$A$301,0)),"ID inconnu"))</f>
        <v/>
      </c>
      <c r="D176" s="16"/>
      <c r="E176" s="18" t="str">
        <f>IF(D176="","",IFERROR(INDEX(Artistes!$B$2:$B$301,MATCH(D176,Artistes!$A$2:$A$301,0)),"ID inconnu"))</f>
        <v/>
      </c>
      <c r="F176" s="16"/>
      <c r="G176" s="16"/>
      <c r="H176" s="16"/>
    </row>
    <row r="177" spans="1:8" x14ac:dyDescent="0.25">
      <c r="A177" s="16"/>
      <c r="B177" s="16"/>
      <c r="C177" s="18" t="str">
        <f>IF(B177="","",IFERROR(INDEX(Artistes!$B$2:$B$301,MATCH(B177,Artistes!$A$2:$A$301,0)),"ID inconnu"))</f>
        <v/>
      </c>
      <c r="D177" s="16"/>
      <c r="E177" s="18" t="str">
        <f>IF(D177="","",IFERROR(INDEX(Artistes!$B$2:$B$301,MATCH(D177,Artistes!$A$2:$A$301,0)),"ID inconnu"))</f>
        <v/>
      </c>
      <c r="F177" s="16"/>
      <c r="G177" s="16"/>
      <c r="H177" s="16"/>
    </row>
    <row r="178" spans="1:8" x14ac:dyDescent="0.25">
      <c r="A178" s="16"/>
      <c r="B178" s="16"/>
      <c r="C178" s="18" t="str">
        <f>IF(B178="","",IFERROR(INDEX(Artistes!$B$2:$B$301,MATCH(B178,Artistes!$A$2:$A$301,0)),"ID inconnu"))</f>
        <v/>
      </c>
      <c r="D178" s="16"/>
      <c r="E178" s="18" t="str">
        <f>IF(D178="","",IFERROR(INDEX(Artistes!$B$2:$B$301,MATCH(D178,Artistes!$A$2:$A$301,0)),"ID inconnu"))</f>
        <v/>
      </c>
      <c r="F178" s="16"/>
      <c r="G178" s="16"/>
      <c r="H178" s="16"/>
    </row>
    <row r="179" spans="1:8" x14ac:dyDescent="0.25">
      <c r="A179" s="16"/>
      <c r="B179" s="16"/>
      <c r="C179" s="18" t="str">
        <f>IF(B179="","",IFERROR(INDEX(Artistes!$B$2:$B$301,MATCH(B179,Artistes!$A$2:$A$301,0)),"ID inconnu"))</f>
        <v/>
      </c>
      <c r="D179" s="16"/>
      <c r="E179" s="18" t="str">
        <f>IF(D179="","",IFERROR(INDEX(Artistes!$B$2:$B$301,MATCH(D179,Artistes!$A$2:$A$301,0)),"ID inconnu"))</f>
        <v/>
      </c>
      <c r="F179" s="16"/>
      <c r="G179" s="16"/>
      <c r="H179" s="16"/>
    </row>
    <row r="180" spans="1:8" x14ac:dyDescent="0.25">
      <c r="A180" s="16"/>
      <c r="B180" s="16"/>
      <c r="C180" s="18" t="str">
        <f>IF(B180="","",IFERROR(INDEX(Artistes!$B$2:$B$301,MATCH(B180,Artistes!$A$2:$A$301,0)),"ID inconnu"))</f>
        <v/>
      </c>
      <c r="D180" s="16"/>
      <c r="E180" s="18" t="str">
        <f>IF(D180="","",IFERROR(INDEX(Artistes!$B$2:$B$301,MATCH(D180,Artistes!$A$2:$A$301,0)),"ID inconnu"))</f>
        <v/>
      </c>
      <c r="F180" s="16"/>
      <c r="G180" s="16"/>
      <c r="H180" s="16"/>
    </row>
    <row r="181" spans="1:8" x14ac:dyDescent="0.25">
      <c r="A181" s="16"/>
      <c r="B181" s="16"/>
      <c r="C181" s="18" t="str">
        <f>IF(B181="","",IFERROR(INDEX(Artistes!$B$2:$B$301,MATCH(B181,Artistes!$A$2:$A$301,0)),"ID inconnu"))</f>
        <v/>
      </c>
      <c r="D181" s="16"/>
      <c r="E181" s="18" t="str">
        <f>IF(D181="","",IFERROR(INDEX(Artistes!$B$2:$B$301,MATCH(D181,Artistes!$A$2:$A$301,0)),"ID inconnu"))</f>
        <v/>
      </c>
      <c r="F181" s="16"/>
      <c r="G181" s="16"/>
      <c r="H181" s="16"/>
    </row>
    <row r="182" spans="1:8" x14ac:dyDescent="0.25">
      <c r="A182" s="16"/>
      <c r="B182" s="16"/>
      <c r="C182" s="18" t="str">
        <f>IF(B182="","",IFERROR(INDEX(Artistes!$B$2:$B$301,MATCH(B182,Artistes!$A$2:$A$301,0)),"ID inconnu"))</f>
        <v/>
      </c>
      <c r="D182" s="16"/>
      <c r="E182" s="18" t="str">
        <f>IF(D182="","",IFERROR(INDEX(Artistes!$B$2:$B$301,MATCH(D182,Artistes!$A$2:$A$301,0)),"ID inconnu"))</f>
        <v/>
      </c>
      <c r="F182" s="16"/>
      <c r="G182" s="16"/>
      <c r="H182" s="16"/>
    </row>
    <row r="183" spans="1:8" x14ac:dyDescent="0.25">
      <c r="A183" s="16"/>
      <c r="B183" s="16"/>
      <c r="C183" s="18" t="str">
        <f>IF(B183="","",IFERROR(INDEX(Artistes!$B$2:$B$301,MATCH(B183,Artistes!$A$2:$A$301,0)),"ID inconnu"))</f>
        <v/>
      </c>
      <c r="D183" s="16"/>
      <c r="E183" s="18" t="str">
        <f>IF(D183="","",IFERROR(INDEX(Artistes!$B$2:$B$301,MATCH(D183,Artistes!$A$2:$A$301,0)),"ID inconnu"))</f>
        <v/>
      </c>
      <c r="F183" s="16"/>
      <c r="G183" s="16"/>
      <c r="H183" s="16"/>
    </row>
    <row r="184" spans="1:8" x14ac:dyDescent="0.25">
      <c r="A184" s="16"/>
      <c r="B184" s="16"/>
      <c r="C184" s="18" t="str">
        <f>IF(B184="","",IFERROR(INDEX(Artistes!$B$2:$B$301,MATCH(B184,Artistes!$A$2:$A$301,0)),"ID inconnu"))</f>
        <v/>
      </c>
      <c r="D184" s="16"/>
      <c r="E184" s="18" t="str">
        <f>IF(D184="","",IFERROR(INDEX(Artistes!$B$2:$B$301,MATCH(D184,Artistes!$A$2:$A$301,0)),"ID inconnu"))</f>
        <v/>
      </c>
      <c r="F184" s="16"/>
      <c r="G184" s="16"/>
      <c r="H184" s="16"/>
    </row>
    <row r="185" spans="1:8" x14ac:dyDescent="0.25">
      <c r="A185" s="16"/>
      <c r="B185" s="16"/>
      <c r="C185" s="18" t="str">
        <f>IF(B185="","",IFERROR(INDEX(Artistes!$B$2:$B$301,MATCH(B185,Artistes!$A$2:$A$301,0)),"ID inconnu"))</f>
        <v/>
      </c>
      <c r="D185" s="16"/>
      <c r="E185" s="18" t="str">
        <f>IF(D185="","",IFERROR(INDEX(Artistes!$B$2:$B$301,MATCH(D185,Artistes!$A$2:$A$301,0)),"ID inconnu"))</f>
        <v/>
      </c>
      <c r="F185" s="16"/>
      <c r="G185" s="16"/>
      <c r="H185" s="16"/>
    </row>
    <row r="186" spans="1:8" x14ac:dyDescent="0.25">
      <c r="A186" s="16"/>
      <c r="B186" s="16"/>
      <c r="C186" s="18" t="str">
        <f>IF(B186="","",IFERROR(INDEX(Artistes!$B$2:$B$301,MATCH(B186,Artistes!$A$2:$A$301,0)),"ID inconnu"))</f>
        <v/>
      </c>
      <c r="D186" s="16"/>
      <c r="E186" s="18" t="str">
        <f>IF(D186="","",IFERROR(INDEX(Artistes!$B$2:$B$301,MATCH(D186,Artistes!$A$2:$A$301,0)),"ID inconnu"))</f>
        <v/>
      </c>
      <c r="F186" s="16"/>
      <c r="G186" s="16"/>
      <c r="H186" s="16"/>
    </row>
    <row r="187" spans="1:8" x14ac:dyDescent="0.25">
      <c r="A187" s="16"/>
      <c r="B187" s="16"/>
      <c r="C187" s="18" t="str">
        <f>IF(B187="","",IFERROR(INDEX(Artistes!$B$2:$B$301,MATCH(B187,Artistes!$A$2:$A$301,0)),"ID inconnu"))</f>
        <v/>
      </c>
      <c r="D187" s="16"/>
      <c r="E187" s="18" t="str">
        <f>IF(D187="","",IFERROR(INDEX(Artistes!$B$2:$B$301,MATCH(D187,Artistes!$A$2:$A$301,0)),"ID inconnu"))</f>
        <v/>
      </c>
      <c r="F187" s="16"/>
      <c r="G187" s="16"/>
      <c r="H187" s="16"/>
    </row>
    <row r="188" spans="1:8" x14ac:dyDescent="0.25">
      <c r="A188" s="16"/>
      <c r="B188" s="16"/>
      <c r="C188" s="18" t="str">
        <f>IF(B188="","",IFERROR(INDEX(Artistes!$B$2:$B$301,MATCH(B188,Artistes!$A$2:$A$301,0)),"ID inconnu"))</f>
        <v/>
      </c>
      <c r="D188" s="16"/>
      <c r="E188" s="18" t="str">
        <f>IF(D188="","",IFERROR(INDEX(Artistes!$B$2:$B$301,MATCH(D188,Artistes!$A$2:$A$301,0)),"ID inconnu"))</f>
        <v/>
      </c>
      <c r="F188" s="16"/>
      <c r="G188" s="16"/>
      <c r="H188" s="16"/>
    </row>
    <row r="189" spans="1:8" x14ac:dyDescent="0.25">
      <c r="A189" s="16"/>
      <c r="B189" s="16"/>
      <c r="C189" s="18" t="str">
        <f>IF(B189="","",IFERROR(INDEX(Artistes!$B$2:$B$301,MATCH(B189,Artistes!$A$2:$A$301,0)),"ID inconnu"))</f>
        <v/>
      </c>
      <c r="D189" s="16"/>
      <c r="E189" s="18" t="str">
        <f>IF(D189="","",IFERROR(INDEX(Artistes!$B$2:$B$301,MATCH(D189,Artistes!$A$2:$A$301,0)),"ID inconnu"))</f>
        <v/>
      </c>
      <c r="F189" s="16"/>
      <c r="G189" s="16"/>
      <c r="H189" s="16"/>
    </row>
    <row r="190" spans="1:8" x14ac:dyDescent="0.25">
      <c r="A190" s="16"/>
      <c r="B190" s="16"/>
      <c r="C190" s="18" t="str">
        <f>IF(B190="","",IFERROR(INDEX(Artistes!$B$2:$B$301,MATCH(B190,Artistes!$A$2:$A$301,0)),"ID inconnu"))</f>
        <v/>
      </c>
      <c r="D190" s="16"/>
      <c r="E190" s="18" t="str">
        <f>IF(D190="","",IFERROR(INDEX(Artistes!$B$2:$B$301,MATCH(D190,Artistes!$A$2:$A$301,0)),"ID inconnu"))</f>
        <v/>
      </c>
      <c r="F190" s="16"/>
      <c r="G190" s="16"/>
      <c r="H190" s="16"/>
    </row>
    <row r="191" spans="1:8" x14ac:dyDescent="0.25">
      <c r="A191" s="16"/>
      <c r="B191" s="16"/>
      <c r="C191" s="18" t="str">
        <f>IF(B191="","",IFERROR(INDEX(Artistes!$B$2:$B$301,MATCH(B191,Artistes!$A$2:$A$301,0)),"ID inconnu"))</f>
        <v/>
      </c>
      <c r="D191" s="16"/>
      <c r="E191" s="18" t="str">
        <f>IF(D191="","",IFERROR(INDEX(Artistes!$B$2:$B$301,MATCH(D191,Artistes!$A$2:$A$301,0)),"ID inconnu"))</f>
        <v/>
      </c>
      <c r="F191" s="16"/>
      <c r="G191" s="16"/>
      <c r="H191" s="16"/>
    </row>
    <row r="192" spans="1:8" x14ac:dyDescent="0.25">
      <c r="A192" s="16"/>
      <c r="B192" s="16"/>
      <c r="C192" s="18" t="str">
        <f>IF(B192="","",IFERROR(INDEX(Artistes!$B$2:$B$301,MATCH(B192,Artistes!$A$2:$A$301,0)),"ID inconnu"))</f>
        <v/>
      </c>
      <c r="D192" s="16"/>
      <c r="E192" s="18" t="str">
        <f>IF(D192="","",IFERROR(INDEX(Artistes!$B$2:$B$301,MATCH(D192,Artistes!$A$2:$A$301,0)),"ID inconnu"))</f>
        <v/>
      </c>
      <c r="F192" s="16"/>
      <c r="G192" s="16"/>
      <c r="H192" s="16"/>
    </row>
    <row r="193" spans="1:8" x14ac:dyDescent="0.25">
      <c r="A193" s="16"/>
      <c r="B193" s="16"/>
      <c r="C193" s="18" t="str">
        <f>IF(B193="","",IFERROR(INDEX(Artistes!$B$2:$B$301,MATCH(B193,Artistes!$A$2:$A$301,0)),"ID inconnu"))</f>
        <v/>
      </c>
      <c r="D193" s="16"/>
      <c r="E193" s="18" t="str">
        <f>IF(D193="","",IFERROR(INDEX(Artistes!$B$2:$B$301,MATCH(D193,Artistes!$A$2:$A$301,0)),"ID inconnu"))</f>
        <v/>
      </c>
      <c r="F193" s="16"/>
      <c r="G193" s="16"/>
      <c r="H193" s="16"/>
    </row>
    <row r="194" spans="1:8" x14ac:dyDescent="0.25">
      <c r="A194" s="16"/>
      <c r="B194" s="16"/>
      <c r="C194" s="18" t="str">
        <f>IF(B194="","",IFERROR(INDEX(Artistes!$B$2:$B$301,MATCH(B194,Artistes!$A$2:$A$301,0)),"ID inconnu"))</f>
        <v/>
      </c>
      <c r="D194" s="16"/>
      <c r="E194" s="18" t="str">
        <f>IF(D194="","",IFERROR(INDEX(Artistes!$B$2:$B$301,MATCH(D194,Artistes!$A$2:$A$301,0)),"ID inconnu"))</f>
        <v/>
      </c>
      <c r="F194" s="16"/>
      <c r="G194" s="16"/>
      <c r="H194" s="16"/>
    </row>
    <row r="195" spans="1:8" x14ac:dyDescent="0.25">
      <c r="A195" s="16"/>
      <c r="B195" s="16"/>
      <c r="C195" s="18" t="str">
        <f>IF(B195="","",IFERROR(INDEX(Artistes!$B$2:$B$301,MATCH(B195,Artistes!$A$2:$A$301,0)),"ID inconnu"))</f>
        <v/>
      </c>
      <c r="D195" s="16"/>
      <c r="E195" s="18" t="str">
        <f>IF(D195="","",IFERROR(INDEX(Artistes!$B$2:$B$301,MATCH(D195,Artistes!$A$2:$A$301,0)),"ID inconnu"))</f>
        <v/>
      </c>
      <c r="F195" s="16"/>
      <c r="G195" s="16"/>
      <c r="H195" s="16"/>
    </row>
    <row r="196" spans="1:8" x14ac:dyDescent="0.25">
      <c r="A196" s="16"/>
      <c r="B196" s="16"/>
      <c r="C196" s="18" t="str">
        <f>IF(B196="","",IFERROR(INDEX(Artistes!$B$2:$B$301,MATCH(B196,Artistes!$A$2:$A$301,0)),"ID inconnu"))</f>
        <v/>
      </c>
      <c r="D196" s="16"/>
      <c r="E196" s="18" t="str">
        <f>IF(D196="","",IFERROR(INDEX(Artistes!$B$2:$B$301,MATCH(D196,Artistes!$A$2:$A$301,0)),"ID inconnu"))</f>
        <v/>
      </c>
      <c r="F196" s="16"/>
      <c r="G196" s="16"/>
      <c r="H196" s="16"/>
    </row>
    <row r="197" spans="1:8" x14ac:dyDescent="0.25">
      <c r="A197" s="16"/>
      <c r="B197" s="16"/>
      <c r="C197" s="18" t="str">
        <f>IF(B197="","",IFERROR(INDEX(Artistes!$B$2:$B$301,MATCH(B197,Artistes!$A$2:$A$301,0)),"ID inconnu"))</f>
        <v/>
      </c>
      <c r="D197" s="16"/>
      <c r="E197" s="18" t="str">
        <f>IF(D197="","",IFERROR(INDEX(Artistes!$B$2:$B$301,MATCH(D197,Artistes!$A$2:$A$301,0)),"ID inconnu"))</f>
        <v/>
      </c>
      <c r="F197" s="16"/>
      <c r="G197" s="16"/>
      <c r="H197" s="16"/>
    </row>
    <row r="198" spans="1:8" x14ac:dyDescent="0.25">
      <c r="A198" s="16"/>
      <c r="B198" s="16"/>
      <c r="C198" s="18" t="str">
        <f>IF(B198="","",IFERROR(INDEX(Artistes!$B$2:$B$301,MATCH(B198,Artistes!$A$2:$A$301,0)),"ID inconnu"))</f>
        <v/>
      </c>
      <c r="D198" s="16"/>
      <c r="E198" s="18" t="str">
        <f>IF(D198="","",IFERROR(INDEX(Artistes!$B$2:$B$301,MATCH(D198,Artistes!$A$2:$A$301,0)),"ID inconnu"))</f>
        <v/>
      </c>
      <c r="F198" s="16"/>
      <c r="G198" s="16"/>
      <c r="H198" s="16"/>
    </row>
    <row r="199" spans="1:8" x14ac:dyDescent="0.25">
      <c r="A199" s="16"/>
      <c r="B199" s="16"/>
      <c r="C199" s="18" t="str">
        <f>IF(B199="","",IFERROR(INDEX(Artistes!$B$2:$B$301,MATCH(B199,Artistes!$A$2:$A$301,0)),"ID inconnu"))</f>
        <v/>
      </c>
      <c r="D199" s="16"/>
      <c r="E199" s="18" t="str">
        <f>IF(D199="","",IFERROR(INDEX(Artistes!$B$2:$B$301,MATCH(D199,Artistes!$A$2:$A$301,0)),"ID inconnu"))</f>
        <v/>
      </c>
      <c r="F199" s="16"/>
      <c r="G199" s="16"/>
      <c r="H199" s="16"/>
    </row>
    <row r="200" spans="1:8" x14ac:dyDescent="0.25">
      <c r="A200" s="16"/>
      <c r="B200" s="16"/>
      <c r="C200" s="18" t="str">
        <f>IF(B200="","",IFERROR(INDEX(Artistes!$B$2:$B$301,MATCH(B200,Artistes!$A$2:$A$301,0)),"ID inconnu"))</f>
        <v/>
      </c>
      <c r="D200" s="16"/>
      <c r="E200" s="18" t="str">
        <f>IF(D200="","",IFERROR(INDEX(Artistes!$B$2:$B$301,MATCH(D200,Artistes!$A$2:$A$301,0)),"ID inconnu"))</f>
        <v/>
      </c>
      <c r="F200" s="16"/>
      <c r="G200" s="16"/>
      <c r="H200" s="16"/>
    </row>
    <row r="201" spans="1:8" x14ac:dyDescent="0.25">
      <c r="A201" s="16"/>
      <c r="B201" s="16"/>
      <c r="C201" s="18" t="str">
        <f>IF(B201="","",IFERROR(INDEX(Artistes!$B$2:$B$301,MATCH(B201,Artistes!$A$2:$A$301,0)),"ID inconnu"))</f>
        <v/>
      </c>
      <c r="D201" s="16"/>
      <c r="E201" s="18" t="str">
        <f>IF(D201="","",IFERROR(INDEX(Artistes!$B$2:$B$301,MATCH(D201,Artistes!$A$2:$A$301,0)),"ID inconnu"))</f>
        <v/>
      </c>
      <c r="F201" s="16"/>
      <c r="G201" s="16"/>
      <c r="H201" s="16"/>
    </row>
    <row r="202" spans="1:8" x14ac:dyDescent="0.25">
      <c r="A202" s="16"/>
      <c r="B202" s="16"/>
      <c r="C202" s="18" t="str">
        <f>IF(B202="","",IFERROR(INDEX(Artistes!$B$2:$B$301,MATCH(B202,Artistes!$A$2:$A$301,0)),"ID inconnu"))</f>
        <v/>
      </c>
      <c r="D202" s="16"/>
      <c r="E202" s="18" t="str">
        <f>IF(D202="","",IFERROR(INDEX(Artistes!$B$2:$B$301,MATCH(D202,Artistes!$A$2:$A$301,0)),"ID inconnu"))</f>
        <v/>
      </c>
      <c r="F202" s="16"/>
      <c r="G202" s="16"/>
      <c r="H202" s="16"/>
    </row>
    <row r="203" spans="1:8" x14ac:dyDescent="0.25">
      <c r="A203" s="16"/>
      <c r="B203" s="16"/>
      <c r="C203" s="18" t="str">
        <f>IF(B203="","",IFERROR(INDEX(Artistes!$B$2:$B$301,MATCH(B203,Artistes!$A$2:$A$301,0)),"ID inconnu"))</f>
        <v/>
      </c>
      <c r="D203" s="16"/>
      <c r="E203" s="18" t="str">
        <f>IF(D203="","",IFERROR(INDEX(Artistes!$B$2:$B$301,MATCH(D203,Artistes!$A$2:$A$301,0)),"ID inconnu"))</f>
        <v/>
      </c>
      <c r="F203" s="16"/>
      <c r="G203" s="16"/>
      <c r="H203" s="16"/>
    </row>
    <row r="204" spans="1:8" x14ac:dyDescent="0.25">
      <c r="A204" s="16"/>
      <c r="B204" s="16"/>
      <c r="C204" s="18" t="str">
        <f>IF(B204="","",IFERROR(INDEX(Artistes!$B$2:$B$301,MATCH(B204,Artistes!$A$2:$A$301,0)),"ID inconnu"))</f>
        <v/>
      </c>
      <c r="D204" s="16"/>
      <c r="E204" s="18" t="str">
        <f>IF(D204="","",IFERROR(INDEX(Artistes!$B$2:$B$301,MATCH(D204,Artistes!$A$2:$A$301,0)),"ID inconnu"))</f>
        <v/>
      </c>
      <c r="F204" s="16"/>
      <c r="G204" s="16"/>
      <c r="H204" s="16"/>
    </row>
    <row r="205" spans="1:8" x14ac:dyDescent="0.25">
      <c r="A205" s="16"/>
      <c r="B205" s="16"/>
      <c r="C205" s="18" t="str">
        <f>IF(B205="","",IFERROR(INDEX(Artistes!$B$2:$B$301,MATCH(B205,Artistes!$A$2:$A$301,0)),"ID inconnu"))</f>
        <v/>
      </c>
      <c r="D205" s="16"/>
      <c r="E205" s="18" t="str">
        <f>IF(D205="","",IFERROR(INDEX(Artistes!$B$2:$B$301,MATCH(D205,Artistes!$A$2:$A$301,0)),"ID inconnu"))</f>
        <v/>
      </c>
      <c r="F205" s="16"/>
      <c r="G205" s="16"/>
      <c r="H205" s="16"/>
    </row>
    <row r="206" spans="1:8" x14ac:dyDescent="0.25">
      <c r="A206" s="16"/>
      <c r="B206" s="16"/>
      <c r="C206" s="18" t="str">
        <f>IF(B206="","",IFERROR(INDEX(Artistes!$B$2:$B$301,MATCH(B206,Artistes!$A$2:$A$301,0)),"ID inconnu"))</f>
        <v/>
      </c>
      <c r="D206" s="16"/>
      <c r="E206" s="18" t="str">
        <f>IF(D206="","",IFERROR(INDEX(Artistes!$B$2:$B$301,MATCH(D206,Artistes!$A$2:$A$301,0)),"ID inconnu"))</f>
        <v/>
      </c>
      <c r="F206" s="16"/>
      <c r="G206" s="16"/>
      <c r="H206" s="16"/>
    </row>
    <row r="207" spans="1:8" x14ac:dyDescent="0.25">
      <c r="A207" s="16"/>
      <c r="B207" s="16"/>
      <c r="C207" s="18" t="str">
        <f>IF(B207="","",IFERROR(INDEX(Artistes!$B$2:$B$301,MATCH(B207,Artistes!$A$2:$A$301,0)),"ID inconnu"))</f>
        <v/>
      </c>
      <c r="D207" s="16"/>
      <c r="E207" s="18" t="str">
        <f>IF(D207="","",IFERROR(INDEX(Artistes!$B$2:$B$301,MATCH(D207,Artistes!$A$2:$A$301,0)),"ID inconnu"))</f>
        <v/>
      </c>
      <c r="F207" s="16"/>
      <c r="G207" s="16"/>
      <c r="H207" s="16"/>
    </row>
    <row r="208" spans="1:8" x14ac:dyDescent="0.25">
      <c r="A208" s="16"/>
      <c r="B208" s="16"/>
      <c r="C208" s="18" t="str">
        <f>IF(B208="","",IFERROR(INDEX(Artistes!$B$2:$B$301,MATCH(B208,Artistes!$A$2:$A$301,0)),"ID inconnu"))</f>
        <v/>
      </c>
      <c r="D208" s="16"/>
      <c r="E208" s="18" t="str">
        <f>IF(D208="","",IFERROR(INDEX(Artistes!$B$2:$B$301,MATCH(D208,Artistes!$A$2:$A$301,0)),"ID inconnu"))</f>
        <v/>
      </c>
      <c r="F208" s="16"/>
      <c r="G208" s="16"/>
      <c r="H208" s="16"/>
    </row>
    <row r="209" spans="1:8" x14ac:dyDescent="0.25">
      <c r="A209" s="16"/>
      <c r="B209" s="16"/>
      <c r="C209" s="18" t="str">
        <f>IF(B209="","",IFERROR(INDEX(Artistes!$B$2:$B$301,MATCH(B209,Artistes!$A$2:$A$301,0)),"ID inconnu"))</f>
        <v/>
      </c>
      <c r="D209" s="16"/>
      <c r="E209" s="18" t="str">
        <f>IF(D209="","",IFERROR(INDEX(Artistes!$B$2:$B$301,MATCH(D209,Artistes!$A$2:$A$301,0)),"ID inconnu"))</f>
        <v/>
      </c>
      <c r="F209" s="16"/>
      <c r="G209" s="16"/>
      <c r="H209" s="16"/>
    </row>
    <row r="210" spans="1:8" x14ac:dyDescent="0.25">
      <c r="A210" s="16"/>
      <c r="B210" s="16"/>
      <c r="C210" s="18" t="str">
        <f>IF(B210="","",IFERROR(INDEX(Artistes!$B$2:$B$301,MATCH(B210,Artistes!$A$2:$A$301,0)),"ID inconnu"))</f>
        <v/>
      </c>
      <c r="D210" s="16"/>
      <c r="E210" s="18" t="str">
        <f>IF(D210="","",IFERROR(INDEX(Artistes!$B$2:$B$301,MATCH(D210,Artistes!$A$2:$A$301,0)),"ID inconnu"))</f>
        <v/>
      </c>
      <c r="F210" s="16"/>
      <c r="G210" s="16"/>
      <c r="H210" s="16"/>
    </row>
    <row r="211" spans="1:8" x14ac:dyDescent="0.25">
      <c r="A211" s="16"/>
      <c r="B211" s="16"/>
      <c r="C211" s="18" t="str">
        <f>IF(B211="","",IFERROR(INDEX(Artistes!$B$2:$B$301,MATCH(B211,Artistes!$A$2:$A$301,0)),"ID inconnu"))</f>
        <v/>
      </c>
      <c r="D211" s="16"/>
      <c r="E211" s="18" t="str">
        <f>IF(D211="","",IFERROR(INDEX(Artistes!$B$2:$B$301,MATCH(D211,Artistes!$A$2:$A$301,0)),"ID inconnu"))</f>
        <v/>
      </c>
      <c r="F211" s="16"/>
      <c r="G211" s="16"/>
      <c r="H211" s="16"/>
    </row>
    <row r="212" spans="1:8" x14ac:dyDescent="0.25">
      <c r="A212" s="16"/>
      <c r="B212" s="16"/>
      <c r="C212" s="18" t="str">
        <f>IF(B212="","",IFERROR(INDEX(Artistes!$B$2:$B$301,MATCH(B212,Artistes!$A$2:$A$301,0)),"ID inconnu"))</f>
        <v/>
      </c>
      <c r="D212" s="16"/>
      <c r="E212" s="18" t="str">
        <f>IF(D212="","",IFERROR(INDEX(Artistes!$B$2:$B$301,MATCH(D212,Artistes!$A$2:$A$301,0)),"ID inconnu"))</f>
        <v/>
      </c>
      <c r="F212" s="16"/>
      <c r="G212" s="16"/>
      <c r="H212" s="16"/>
    </row>
    <row r="213" spans="1:8" x14ac:dyDescent="0.25">
      <c r="A213" s="16"/>
      <c r="B213" s="16"/>
      <c r="C213" s="18" t="str">
        <f>IF(B213="","",IFERROR(INDEX(Artistes!$B$2:$B$301,MATCH(B213,Artistes!$A$2:$A$301,0)),"ID inconnu"))</f>
        <v/>
      </c>
      <c r="D213" s="16"/>
      <c r="E213" s="18" t="str">
        <f>IF(D213="","",IFERROR(INDEX(Artistes!$B$2:$B$301,MATCH(D213,Artistes!$A$2:$A$301,0)),"ID inconnu"))</f>
        <v/>
      </c>
      <c r="F213" s="16"/>
      <c r="G213" s="16"/>
      <c r="H213" s="16"/>
    </row>
    <row r="214" spans="1:8" x14ac:dyDescent="0.25">
      <c r="A214" s="16"/>
      <c r="B214" s="16"/>
      <c r="C214" s="18" t="str">
        <f>IF(B214="","",IFERROR(INDEX(Artistes!$B$2:$B$301,MATCH(B214,Artistes!$A$2:$A$301,0)),"ID inconnu"))</f>
        <v/>
      </c>
      <c r="D214" s="16"/>
      <c r="E214" s="18" t="str">
        <f>IF(D214="","",IFERROR(INDEX(Artistes!$B$2:$B$301,MATCH(D214,Artistes!$A$2:$A$301,0)),"ID inconnu"))</f>
        <v/>
      </c>
      <c r="F214" s="16"/>
      <c r="G214" s="16"/>
      <c r="H214" s="16"/>
    </row>
    <row r="215" spans="1:8" x14ac:dyDescent="0.25">
      <c r="A215" s="16"/>
      <c r="B215" s="16"/>
      <c r="C215" s="18" t="str">
        <f>IF(B215="","",IFERROR(INDEX(Artistes!$B$2:$B$301,MATCH(B215,Artistes!$A$2:$A$301,0)),"ID inconnu"))</f>
        <v/>
      </c>
      <c r="D215" s="16"/>
      <c r="E215" s="18" t="str">
        <f>IF(D215="","",IFERROR(INDEX(Artistes!$B$2:$B$301,MATCH(D215,Artistes!$A$2:$A$301,0)),"ID inconnu"))</f>
        <v/>
      </c>
      <c r="F215" s="16"/>
      <c r="G215" s="16"/>
      <c r="H215" s="16"/>
    </row>
    <row r="216" spans="1:8" x14ac:dyDescent="0.25">
      <c r="A216" s="16"/>
      <c r="B216" s="16"/>
      <c r="C216" s="18" t="str">
        <f>IF(B216="","",IFERROR(INDEX(Artistes!$B$2:$B$301,MATCH(B216,Artistes!$A$2:$A$301,0)),"ID inconnu"))</f>
        <v/>
      </c>
      <c r="D216" s="16"/>
      <c r="E216" s="18" t="str">
        <f>IF(D216="","",IFERROR(INDEX(Artistes!$B$2:$B$301,MATCH(D216,Artistes!$A$2:$A$301,0)),"ID inconnu"))</f>
        <v/>
      </c>
      <c r="F216" s="16"/>
      <c r="G216" s="16"/>
      <c r="H216" s="16"/>
    </row>
    <row r="217" spans="1:8" x14ac:dyDescent="0.25">
      <c r="A217" s="16"/>
      <c r="B217" s="16"/>
      <c r="C217" s="18" t="str">
        <f>IF(B217="","",IFERROR(INDEX(Artistes!$B$2:$B$301,MATCH(B217,Artistes!$A$2:$A$301,0)),"ID inconnu"))</f>
        <v/>
      </c>
      <c r="D217" s="16"/>
      <c r="E217" s="18" t="str">
        <f>IF(D217="","",IFERROR(INDEX(Artistes!$B$2:$B$301,MATCH(D217,Artistes!$A$2:$A$301,0)),"ID inconnu"))</f>
        <v/>
      </c>
      <c r="F217" s="16"/>
      <c r="G217" s="16"/>
      <c r="H217" s="16"/>
    </row>
    <row r="218" spans="1:8" x14ac:dyDescent="0.25">
      <c r="A218" s="16"/>
      <c r="B218" s="16"/>
      <c r="C218" s="18" t="str">
        <f>IF(B218="","",IFERROR(INDEX(Artistes!$B$2:$B$301,MATCH(B218,Artistes!$A$2:$A$301,0)),"ID inconnu"))</f>
        <v/>
      </c>
      <c r="D218" s="16"/>
      <c r="E218" s="18" t="str">
        <f>IF(D218="","",IFERROR(INDEX(Artistes!$B$2:$B$301,MATCH(D218,Artistes!$A$2:$A$301,0)),"ID inconnu"))</f>
        <v/>
      </c>
      <c r="F218" s="16"/>
      <c r="G218" s="16"/>
      <c r="H218" s="16"/>
    </row>
    <row r="219" spans="1:8" x14ac:dyDescent="0.25">
      <c r="A219" s="16"/>
      <c r="B219" s="16"/>
      <c r="C219" s="18" t="str">
        <f>IF(B219="","",IFERROR(INDEX(Artistes!$B$2:$B$301,MATCH(B219,Artistes!$A$2:$A$301,0)),"ID inconnu"))</f>
        <v/>
      </c>
      <c r="D219" s="16"/>
      <c r="E219" s="18" t="str">
        <f>IF(D219="","",IFERROR(INDEX(Artistes!$B$2:$B$301,MATCH(D219,Artistes!$A$2:$A$301,0)),"ID inconnu"))</f>
        <v/>
      </c>
      <c r="F219" s="16"/>
      <c r="G219" s="16"/>
      <c r="H219" s="16"/>
    </row>
    <row r="220" spans="1:8" x14ac:dyDescent="0.25">
      <c r="A220" s="16"/>
      <c r="B220" s="16"/>
      <c r="C220" s="18" t="str">
        <f>IF(B220="","",IFERROR(INDEX(Artistes!$B$2:$B$301,MATCH(B220,Artistes!$A$2:$A$301,0)),"ID inconnu"))</f>
        <v/>
      </c>
      <c r="D220" s="16"/>
      <c r="E220" s="18" t="str">
        <f>IF(D220="","",IFERROR(INDEX(Artistes!$B$2:$B$301,MATCH(D220,Artistes!$A$2:$A$301,0)),"ID inconnu"))</f>
        <v/>
      </c>
      <c r="F220" s="16"/>
      <c r="G220" s="16"/>
      <c r="H220" s="16"/>
    </row>
    <row r="221" spans="1:8" x14ac:dyDescent="0.25">
      <c r="A221" s="16"/>
      <c r="B221" s="16"/>
      <c r="C221" s="18" t="str">
        <f>IF(B221="","",IFERROR(INDEX(Artistes!$B$2:$B$301,MATCH(B221,Artistes!$A$2:$A$301,0)),"ID inconnu"))</f>
        <v/>
      </c>
      <c r="D221" s="16"/>
      <c r="E221" s="18" t="str">
        <f>IF(D221="","",IFERROR(INDEX(Artistes!$B$2:$B$301,MATCH(D221,Artistes!$A$2:$A$301,0)),"ID inconnu"))</f>
        <v/>
      </c>
      <c r="F221" s="16"/>
      <c r="G221" s="16"/>
      <c r="H221" s="16"/>
    </row>
    <row r="222" spans="1:8" x14ac:dyDescent="0.25">
      <c r="A222" s="16"/>
      <c r="B222" s="16"/>
      <c r="C222" s="18" t="str">
        <f>IF(B222="","",IFERROR(INDEX(Artistes!$B$2:$B$301,MATCH(B222,Artistes!$A$2:$A$301,0)),"ID inconnu"))</f>
        <v/>
      </c>
      <c r="D222" s="16"/>
      <c r="E222" s="18" t="str">
        <f>IF(D222="","",IFERROR(INDEX(Artistes!$B$2:$B$301,MATCH(D222,Artistes!$A$2:$A$301,0)),"ID inconnu"))</f>
        <v/>
      </c>
      <c r="F222" s="16"/>
      <c r="G222" s="16"/>
      <c r="H222" s="16"/>
    </row>
    <row r="223" spans="1:8" x14ac:dyDescent="0.25">
      <c r="A223" s="16"/>
      <c r="B223" s="16"/>
      <c r="C223" s="18" t="str">
        <f>IF(B223="","",IFERROR(INDEX(Artistes!$B$2:$B$301,MATCH(B223,Artistes!$A$2:$A$301,0)),"ID inconnu"))</f>
        <v/>
      </c>
      <c r="D223" s="16"/>
      <c r="E223" s="18" t="str">
        <f>IF(D223="","",IFERROR(INDEX(Artistes!$B$2:$B$301,MATCH(D223,Artistes!$A$2:$A$301,0)),"ID inconnu"))</f>
        <v/>
      </c>
      <c r="F223" s="16"/>
      <c r="G223" s="16"/>
      <c r="H223" s="16"/>
    </row>
    <row r="224" spans="1:8" x14ac:dyDescent="0.25">
      <c r="A224" s="16"/>
      <c r="B224" s="16"/>
      <c r="C224" s="18" t="str">
        <f>IF(B224="","",IFERROR(INDEX(Artistes!$B$2:$B$301,MATCH(B224,Artistes!$A$2:$A$301,0)),"ID inconnu"))</f>
        <v/>
      </c>
      <c r="D224" s="16"/>
      <c r="E224" s="18" t="str">
        <f>IF(D224="","",IFERROR(INDEX(Artistes!$B$2:$B$301,MATCH(D224,Artistes!$A$2:$A$301,0)),"ID inconnu"))</f>
        <v/>
      </c>
      <c r="F224" s="16"/>
      <c r="G224" s="16"/>
      <c r="H224" s="16"/>
    </row>
    <row r="225" spans="1:8" x14ac:dyDescent="0.25">
      <c r="A225" s="16"/>
      <c r="B225" s="16"/>
      <c r="C225" s="18" t="str">
        <f>IF(B225="","",IFERROR(INDEX(Artistes!$B$2:$B$301,MATCH(B225,Artistes!$A$2:$A$301,0)),"ID inconnu"))</f>
        <v/>
      </c>
      <c r="D225" s="16"/>
      <c r="E225" s="18" t="str">
        <f>IF(D225="","",IFERROR(INDEX(Artistes!$B$2:$B$301,MATCH(D225,Artistes!$A$2:$A$301,0)),"ID inconnu"))</f>
        <v/>
      </c>
      <c r="F225" s="16"/>
      <c r="G225" s="16"/>
      <c r="H225" s="16"/>
    </row>
    <row r="226" spans="1:8" x14ac:dyDescent="0.25">
      <c r="A226" s="16"/>
      <c r="B226" s="16"/>
      <c r="C226" s="18" t="str">
        <f>IF(B226="","",IFERROR(INDEX(Artistes!$B$2:$B$301,MATCH(B226,Artistes!$A$2:$A$301,0)),"ID inconnu"))</f>
        <v/>
      </c>
      <c r="D226" s="16"/>
      <c r="E226" s="18" t="str">
        <f>IF(D226="","",IFERROR(INDEX(Artistes!$B$2:$B$301,MATCH(D226,Artistes!$A$2:$A$301,0)),"ID inconnu"))</f>
        <v/>
      </c>
      <c r="F226" s="16"/>
      <c r="G226" s="16"/>
      <c r="H226" s="16"/>
    </row>
    <row r="227" spans="1:8" x14ac:dyDescent="0.25">
      <c r="A227" s="16"/>
      <c r="B227" s="16"/>
      <c r="C227" s="18" t="str">
        <f>IF(B227="","",IFERROR(INDEX(Artistes!$B$2:$B$301,MATCH(B227,Artistes!$A$2:$A$301,0)),"ID inconnu"))</f>
        <v/>
      </c>
      <c r="D227" s="16"/>
      <c r="E227" s="18" t="str">
        <f>IF(D227="","",IFERROR(INDEX(Artistes!$B$2:$B$301,MATCH(D227,Artistes!$A$2:$A$301,0)),"ID inconnu"))</f>
        <v/>
      </c>
      <c r="F227" s="16"/>
      <c r="G227" s="16"/>
      <c r="H227" s="16"/>
    </row>
    <row r="228" spans="1:8" x14ac:dyDescent="0.25">
      <c r="A228" s="16"/>
      <c r="B228" s="16"/>
      <c r="C228" s="18" t="str">
        <f>IF(B228="","",IFERROR(INDEX(Artistes!$B$2:$B$301,MATCH(B228,Artistes!$A$2:$A$301,0)),"ID inconnu"))</f>
        <v/>
      </c>
      <c r="D228" s="16"/>
      <c r="E228" s="18" t="str">
        <f>IF(D228="","",IFERROR(INDEX(Artistes!$B$2:$B$301,MATCH(D228,Artistes!$A$2:$A$301,0)),"ID inconnu"))</f>
        <v/>
      </c>
      <c r="F228" s="16"/>
      <c r="G228" s="16"/>
      <c r="H228" s="16"/>
    </row>
    <row r="229" spans="1:8" x14ac:dyDescent="0.25">
      <c r="A229" s="16"/>
      <c r="B229" s="16"/>
      <c r="C229" s="18" t="str">
        <f>IF(B229="","",IFERROR(INDEX(Artistes!$B$2:$B$301,MATCH(B229,Artistes!$A$2:$A$301,0)),"ID inconnu"))</f>
        <v/>
      </c>
      <c r="D229" s="16"/>
      <c r="E229" s="18" t="str">
        <f>IF(D229="","",IFERROR(INDEX(Artistes!$B$2:$B$301,MATCH(D229,Artistes!$A$2:$A$301,0)),"ID inconnu"))</f>
        <v/>
      </c>
      <c r="F229" s="16"/>
      <c r="G229" s="16"/>
      <c r="H229" s="16"/>
    </row>
    <row r="230" spans="1:8" x14ac:dyDescent="0.25">
      <c r="A230" s="16"/>
      <c r="B230" s="16"/>
      <c r="C230" s="18" t="str">
        <f>IF(B230="","",IFERROR(INDEX(Artistes!$B$2:$B$301,MATCH(B230,Artistes!$A$2:$A$301,0)),"ID inconnu"))</f>
        <v/>
      </c>
      <c r="D230" s="16"/>
      <c r="E230" s="18" t="str">
        <f>IF(D230="","",IFERROR(INDEX(Artistes!$B$2:$B$301,MATCH(D230,Artistes!$A$2:$A$301,0)),"ID inconnu"))</f>
        <v/>
      </c>
      <c r="F230" s="16"/>
      <c r="G230" s="16"/>
      <c r="H230" s="16"/>
    </row>
    <row r="231" spans="1:8" x14ac:dyDescent="0.25">
      <c r="A231" s="16"/>
      <c r="B231" s="16"/>
      <c r="C231" s="18" t="str">
        <f>IF(B231="","",IFERROR(INDEX(Artistes!$B$2:$B$301,MATCH(B231,Artistes!$A$2:$A$301,0)),"ID inconnu"))</f>
        <v/>
      </c>
      <c r="D231" s="16"/>
      <c r="E231" s="18" t="str">
        <f>IF(D231="","",IFERROR(INDEX(Artistes!$B$2:$B$301,MATCH(D231,Artistes!$A$2:$A$301,0)),"ID inconnu"))</f>
        <v/>
      </c>
      <c r="F231" s="16"/>
      <c r="G231" s="16"/>
      <c r="H231" s="16"/>
    </row>
    <row r="232" spans="1:8" x14ac:dyDescent="0.25">
      <c r="A232" s="16"/>
      <c r="B232" s="16"/>
      <c r="C232" s="18" t="str">
        <f>IF(B232="","",IFERROR(INDEX(Artistes!$B$2:$B$301,MATCH(B232,Artistes!$A$2:$A$301,0)),"ID inconnu"))</f>
        <v/>
      </c>
      <c r="D232" s="16"/>
      <c r="E232" s="18" t="str">
        <f>IF(D232="","",IFERROR(INDEX(Artistes!$B$2:$B$301,MATCH(D232,Artistes!$A$2:$A$301,0)),"ID inconnu"))</f>
        <v/>
      </c>
      <c r="F232" s="16"/>
      <c r="G232" s="16"/>
      <c r="H232" s="16"/>
    </row>
    <row r="233" spans="1:8" x14ac:dyDescent="0.25">
      <c r="A233" s="16"/>
      <c r="B233" s="16"/>
      <c r="C233" s="18" t="str">
        <f>IF(B233="","",IFERROR(INDEX(Artistes!$B$2:$B$301,MATCH(B233,Artistes!$A$2:$A$301,0)),"ID inconnu"))</f>
        <v/>
      </c>
      <c r="D233" s="16"/>
      <c r="E233" s="18" t="str">
        <f>IF(D233="","",IFERROR(INDEX(Artistes!$B$2:$B$301,MATCH(D233,Artistes!$A$2:$A$301,0)),"ID inconnu"))</f>
        <v/>
      </c>
      <c r="F233" s="16"/>
      <c r="G233" s="16"/>
      <c r="H233" s="16"/>
    </row>
    <row r="234" spans="1:8" x14ac:dyDescent="0.25">
      <c r="A234" s="16"/>
      <c r="B234" s="16"/>
      <c r="C234" s="18" t="str">
        <f>IF(B234="","",IFERROR(INDEX(Artistes!$B$2:$B$301,MATCH(B234,Artistes!$A$2:$A$301,0)),"ID inconnu"))</f>
        <v/>
      </c>
      <c r="D234" s="16"/>
      <c r="E234" s="18" t="str">
        <f>IF(D234="","",IFERROR(INDEX(Artistes!$B$2:$B$301,MATCH(D234,Artistes!$A$2:$A$301,0)),"ID inconnu"))</f>
        <v/>
      </c>
      <c r="F234" s="16"/>
      <c r="G234" s="16"/>
      <c r="H234" s="16"/>
    </row>
    <row r="235" spans="1:8" x14ac:dyDescent="0.25">
      <c r="A235" s="16"/>
      <c r="B235" s="16"/>
      <c r="C235" s="18" t="str">
        <f>IF(B235="","",IFERROR(INDEX(Artistes!$B$2:$B$301,MATCH(B235,Artistes!$A$2:$A$301,0)),"ID inconnu"))</f>
        <v/>
      </c>
      <c r="D235" s="16"/>
      <c r="E235" s="18" t="str">
        <f>IF(D235="","",IFERROR(INDEX(Artistes!$B$2:$B$301,MATCH(D235,Artistes!$A$2:$A$301,0)),"ID inconnu"))</f>
        <v/>
      </c>
      <c r="F235" s="16"/>
      <c r="G235" s="16"/>
      <c r="H235" s="16"/>
    </row>
    <row r="236" spans="1:8" x14ac:dyDescent="0.25">
      <c r="A236" s="16"/>
      <c r="B236" s="16"/>
      <c r="C236" s="18" t="str">
        <f>IF(B236="","",IFERROR(INDEX(Artistes!$B$2:$B$301,MATCH(B236,Artistes!$A$2:$A$301,0)),"ID inconnu"))</f>
        <v/>
      </c>
      <c r="D236" s="16"/>
      <c r="E236" s="18" t="str">
        <f>IF(D236="","",IFERROR(INDEX(Artistes!$B$2:$B$301,MATCH(D236,Artistes!$A$2:$A$301,0)),"ID inconnu"))</f>
        <v/>
      </c>
      <c r="F236" s="16"/>
      <c r="G236" s="16"/>
      <c r="H236" s="16"/>
    </row>
    <row r="237" spans="1:8" x14ac:dyDescent="0.25">
      <c r="A237" s="16"/>
      <c r="B237" s="16"/>
      <c r="C237" s="18" t="str">
        <f>IF(B237="","",IFERROR(INDEX(Artistes!$B$2:$B$301,MATCH(B237,Artistes!$A$2:$A$301,0)),"ID inconnu"))</f>
        <v/>
      </c>
      <c r="D237" s="16"/>
      <c r="E237" s="18" t="str">
        <f>IF(D237="","",IFERROR(INDEX(Artistes!$B$2:$B$301,MATCH(D237,Artistes!$A$2:$A$301,0)),"ID inconnu"))</f>
        <v/>
      </c>
      <c r="F237" s="16"/>
      <c r="G237" s="16"/>
      <c r="H237" s="16"/>
    </row>
    <row r="238" spans="1:8" x14ac:dyDescent="0.25">
      <c r="A238" s="16"/>
      <c r="B238" s="16"/>
      <c r="C238" s="18" t="str">
        <f>IF(B238="","",IFERROR(INDEX(Artistes!$B$2:$B$301,MATCH(B238,Artistes!$A$2:$A$301,0)),"ID inconnu"))</f>
        <v/>
      </c>
      <c r="D238" s="16"/>
      <c r="E238" s="18" t="str">
        <f>IF(D238="","",IFERROR(INDEX(Artistes!$B$2:$B$301,MATCH(D238,Artistes!$A$2:$A$301,0)),"ID inconnu"))</f>
        <v/>
      </c>
      <c r="F238" s="16"/>
      <c r="G238" s="16"/>
      <c r="H238" s="16"/>
    </row>
    <row r="239" spans="1:8" x14ac:dyDescent="0.25">
      <c r="A239" s="16"/>
      <c r="B239" s="16"/>
      <c r="C239" s="18" t="str">
        <f>IF(B239="","",IFERROR(INDEX(Artistes!$B$2:$B$301,MATCH(B239,Artistes!$A$2:$A$301,0)),"ID inconnu"))</f>
        <v/>
      </c>
      <c r="D239" s="16"/>
      <c r="E239" s="18" t="str">
        <f>IF(D239="","",IFERROR(INDEX(Artistes!$B$2:$B$301,MATCH(D239,Artistes!$A$2:$A$301,0)),"ID inconnu"))</f>
        <v/>
      </c>
      <c r="F239" s="16"/>
      <c r="G239" s="16"/>
      <c r="H239" s="16"/>
    </row>
    <row r="240" spans="1:8" x14ac:dyDescent="0.25">
      <c r="A240" s="16"/>
      <c r="B240" s="16"/>
      <c r="C240" s="18" t="str">
        <f>IF(B240="","",IFERROR(INDEX(Artistes!$B$2:$B$301,MATCH(B240,Artistes!$A$2:$A$301,0)),"ID inconnu"))</f>
        <v/>
      </c>
      <c r="D240" s="16"/>
      <c r="E240" s="18" t="str">
        <f>IF(D240="","",IFERROR(INDEX(Artistes!$B$2:$B$301,MATCH(D240,Artistes!$A$2:$A$301,0)),"ID inconnu"))</f>
        <v/>
      </c>
      <c r="F240" s="16"/>
      <c r="G240" s="16"/>
      <c r="H240" s="16"/>
    </row>
    <row r="241" spans="1:8" x14ac:dyDescent="0.25">
      <c r="A241" s="16"/>
      <c r="B241" s="16"/>
      <c r="C241" s="18" t="str">
        <f>IF(B241="","",IFERROR(INDEX(Artistes!$B$2:$B$301,MATCH(B241,Artistes!$A$2:$A$301,0)),"ID inconnu"))</f>
        <v/>
      </c>
      <c r="D241" s="16"/>
      <c r="E241" s="18" t="str">
        <f>IF(D241="","",IFERROR(INDEX(Artistes!$B$2:$B$301,MATCH(D241,Artistes!$A$2:$A$301,0)),"ID inconnu"))</f>
        <v/>
      </c>
      <c r="F241" s="16"/>
      <c r="G241" s="16"/>
      <c r="H241" s="16"/>
    </row>
    <row r="242" spans="1:8" x14ac:dyDescent="0.25">
      <c r="A242" s="16"/>
      <c r="B242" s="16"/>
      <c r="C242" s="18" t="str">
        <f>IF(B242="","",IFERROR(INDEX(Artistes!$B$2:$B$301,MATCH(B242,Artistes!$A$2:$A$301,0)),"ID inconnu"))</f>
        <v/>
      </c>
      <c r="D242" s="16"/>
      <c r="E242" s="18" t="str">
        <f>IF(D242="","",IFERROR(INDEX(Artistes!$B$2:$B$301,MATCH(D242,Artistes!$A$2:$A$301,0)),"ID inconnu"))</f>
        <v/>
      </c>
      <c r="F242" s="16"/>
      <c r="G242" s="16"/>
      <c r="H242" s="16"/>
    </row>
    <row r="243" spans="1:8" x14ac:dyDescent="0.25">
      <c r="A243" s="16"/>
      <c r="B243" s="16"/>
      <c r="C243" s="18" t="str">
        <f>IF(B243="","",IFERROR(INDEX(Artistes!$B$2:$B$301,MATCH(B243,Artistes!$A$2:$A$301,0)),"ID inconnu"))</f>
        <v/>
      </c>
      <c r="D243" s="16"/>
      <c r="E243" s="18" t="str">
        <f>IF(D243="","",IFERROR(INDEX(Artistes!$B$2:$B$301,MATCH(D243,Artistes!$A$2:$A$301,0)),"ID inconnu"))</f>
        <v/>
      </c>
      <c r="F243" s="16"/>
      <c r="G243" s="16"/>
      <c r="H243" s="16"/>
    </row>
    <row r="244" spans="1:8" x14ac:dyDescent="0.25">
      <c r="A244" s="16"/>
      <c r="B244" s="16"/>
      <c r="C244" s="18" t="str">
        <f>IF(B244="","",IFERROR(INDEX(Artistes!$B$2:$B$301,MATCH(B244,Artistes!$A$2:$A$301,0)),"ID inconnu"))</f>
        <v/>
      </c>
      <c r="D244" s="16"/>
      <c r="E244" s="18" t="str">
        <f>IF(D244="","",IFERROR(INDEX(Artistes!$B$2:$B$301,MATCH(D244,Artistes!$A$2:$A$301,0)),"ID inconnu"))</f>
        <v/>
      </c>
      <c r="F244" s="16"/>
      <c r="G244" s="16"/>
      <c r="H244" s="16"/>
    </row>
    <row r="245" spans="1:8" x14ac:dyDescent="0.25">
      <c r="A245" s="16"/>
      <c r="B245" s="16"/>
      <c r="C245" s="18" t="str">
        <f>IF(B245="","",IFERROR(INDEX(Artistes!$B$2:$B$301,MATCH(B245,Artistes!$A$2:$A$301,0)),"ID inconnu"))</f>
        <v/>
      </c>
      <c r="D245" s="16"/>
      <c r="E245" s="18" t="str">
        <f>IF(D245="","",IFERROR(INDEX(Artistes!$B$2:$B$301,MATCH(D245,Artistes!$A$2:$A$301,0)),"ID inconnu"))</f>
        <v/>
      </c>
      <c r="F245" s="16"/>
      <c r="G245" s="16"/>
      <c r="H245" s="16"/>
    </row>
    <row r="246" spans="1:8" x14ac:dyDescent="0.25">
      <c r="A246" s="16"/>
      <c r="B246" s="16"/>
      <c r="C246" s="18" t="str">
        <f>IF(B246="","",IFERROR(INDEX(Artistes!$B$2:$B$301,MATCH(B246,Artistes!$A$2:$A$301,0)),"ID inconnu"))</f>
        <v/>
      </c>
      <c r="D246" s="16"/>
      <c r="E246" s="18" t="str">
        <f>IF(D246="","",IFERROR(INDEX(Artistes!$B$2:$B$301,MATCH(D246,Artistes!$A$2:$A$301,0)),"ID inconnu"))</f>
        <v/>
      </c>
      <c r="F246" s="16"/>
      <c r="G246" s="16"/>
      <c r="H246" s="16"/>
    </row>
    <row r="247" spans="1:8" x14ac:dyDescent="0.25">
      <c r="A247" s="16"/>
      <c r="B247" s="16"/>
      <c r="C247" s="18" t="str">
        <f>IF(B247="","",IFERROR(INDEX(Artistes!$B$2:$B$301,MATCH(B247,Artistes!$A$2:$A$301,0)),"ID inconnu"))</f>
        <v/>
      </c>
      <c r="D247" s="16"/>
      <c r="E247" s="18" t="str">
        <f>IF(D247="","",IFERROR(INDEX(Artistes!$B$2:$B$301,MATCH(D247,Artistes!$A$2:$A$301,0)),"ID inconnu"))</f>
        <v/>
      </c>
      <c r="F247" s="16"/>
      <c r="G247" s="16"/>
      <c r="H247" s="16"/>
    </row>
    <row r="248" spans="1:8" x14ac:dyDescent="0.25">
      <c r="A248" s="16"/>
      <c r="B248" s="16"/>
      <c r="C248" s="18" t="str">
        <f>IF(B248="","",IFERROR(INDEX(Artistes!$B$2:$B$301,MATCH(B248,Artistes!$A$2:$A$301,0)),"ID inconnu"))</f>
        <v/>
      </c>
      <c r="D248" s="16"/>
      <c r="E248" s="18" t="str">
        <f>IF(D248="","",IFERROR(INDEX(Artistes!$B$2:$B$301,MATCH(D248,Artistes!$A$2:$A$301,0)),"ID inconnu"))</f>
        <v/>
      </c>
      <c r="F248" s="16"/>
      <c r="G248" s="16"/>
      <c r="H248" s="16"/>
    </row>
    <row r="249" spans="1:8" x14ac:dyDescent="0.25">
      <c r="A249" s="16"/>
      <c r="B249" s="16"/>
      <c r="C249" s="18" t="str">
        <f>IF(B249="","",IFERROR(INDEX(Artistes!$B$2:$B$301,MATCH(B249,Artistes!$A$2:$A$301,0)),"ID inconnu"))</f>
        <v/>
      </c>
      <c r="D249" s="16"/>
      <c r="E249" s="18" t="str">
        <f>IF(D249="","",IFERROR(INDEX(Artistes!$B$2:$B$301,MATCH(D249,Artistes!$A$2:$A$301,0)),"ID inconnu"))</f>
        <v/>
      </c>
      <c r="F249" s="16"/>
      <c r="G249" s="16"/>
      <c r="H249" s="16"/>
    </row>
    <row r="250" spans="1:8" x14ac:dyDescent="0.25">
      <c r="A250" s="16"/>
      <c r="B250" s="16"/>
      <c r="C250" s="18" t="str">
        <f>IF(B250="","",IFERROR(INDEX(Artistes!$B$2:$B$301,MATCH(B250,Artistes!$A$2:$A$301,0)),"ID inconnu"))</f>
        <v/>
      </c>
      <c r="D250" s="16"/>
      <c r="E250" s="18" t="str">
        <f>IF(D250="","",IFERROR(INDEX(Artistes!$B$2:$B$301,MATCH(D250,Artistes!$A$2:$A$301,0)),"ID inconnu"))</f>
        <v/>
      </c>
      <c r="F250" s="16"/>
      <c r="G250" s="16"/>
      <c r="H250" s="16"/>
    </row>
    <row r="251" spans="1:8" x14ac:dyDescent="0.25">
      <c r="A251" s="16"/>
      <c r="B251" s="16"/>
      <c r="C251" s="18" t="str">
        <f>IF(B251="","",IFERROR(INDEX(Artistes!$B$2:$B$301,MATCH(B251,Artistes!$A$2:$A$301,0)),"ID inconnu"))</f>
        <v/>
      </c>
      <c r="D251" s="16"/>
      <c r="E251" s="18" t="str">
        <f>IF(D251="","",IFERROR(INDEX(Artistes!$B$2:$B$301,MATCH(D251,Artistes!$A$2:$A$301,0)),"ID inconnu"))</f>
        <v/>
      </c>
      <c r="F251" s="16"/>
      <c r="G251" s="16"/>
      <c r="H251" s="16"/>
    </row>
    <row r="252" spans="1:8" x14ac:dyDescent="0.25">
      <c r="A252" s="16"/>
      <c r="B252" s="16"/>
      <c r="C252" s="18" t="str">
        <f>IF(B252="","",IFERROR(INDEX(Artistes!$B$2:$B$301,MATCH(B252,Artistes!$A$2:$A$301,0)),"ID inconnu"))</f>
        <v/>
      </c>
      <c r="D252" s="16"/>
      <c r="E252" s="18" t="str">
        <f>IF(D252="","",IFERROR(INDEX(Artistes!$B$2:$B$301,MATCH(D252,Artistes!$A$2:$A$301,0)),"ID inconnu"))</f>
        <v/>
      </c>
      <c r="F252" s="16"/>
      <c r="G252" s="16"/>
      <c r="H252" s="16"/>
    </row>
    <row r="253" spans="1:8" x14ac:dyDescent="0.25">
      <c r="A253" s="16"/>
      <c r="B253" s="16"/>
      <c r="C253" s="18" t="str">
        <f>IF(B253="","",IFERROR(INDEX(Artistes!$B$2:$B$301,MATCH(B253,Artistes!$A$2:$A$301,0)),"ID inconnu"))</f>
        <v/>
      </c>
      <c r="D253" s="16"/>
      <c r="E253" s="18" t="str">
        <f>IF(D253="","",IFERROR(INDEX(Artistes!$B$2:$B$301,MATCH(D253,Artistes!$A$2:$A$301,0)),"ID inconnu"))</f>
        <v/>
      </c>
      <c r="F253" s="16"/>
      <c r="G253" s="16"/>
      <c r="H253" s="16"/>
    </row>
    <row r="254" spans="1:8" x14ac:dyDescent="0.25">
      <c r="A254" s="16"/>
      <c r="B254" s="16"/>
      <c r="C254" s="18" t="str">
        <f>IF(B254="","",IFERROR(INDEX(Artistes!$B$2:$B$301,MATCH(B254,Artistes!$A$2:$A$301,0)),"ID inconnu"))</f>
        <v/>
      </c>
      <c r="D254" s="16"/>
      <c r="E254" s="18" t="str">
        <f>IF(D254="","",IFERROR(INDEX(Artistes!$B$2:$B$301,MATCH(D254,Artistes!$A$2:$A$301,0)),"ID inconnu"))</f>
        <v/>
      </c>
      <c r="F254" s="16"/>
      <c r="G254" s="16"/>
      <c r="H254" s="16"/>
    </row>
    <row r="255" spans="1:8" x14ac:dyDescent="0.25">
      <c r="A255" s="16"/>
      <c r="B255" s="16"/>
      <c r="C255" s="18" t="str">
        <f>IF(B255="","",IFERROR(INDEX(Artistes!$B$2:$B$301,MATCH(B255,Artistes!$A$2:$A$301,0)),"ID inconnu"))</f>
        <v/>
      </c>
      <c r="D255" s="16"/>
      <c r="E255" s="18" t="str">
        <f>IF(D255="","",IFERROR(INDEX(Artistes!$B$2:$B$301,MATCH(D255,Artistes!$A$2:$A$301,0)),"ID inconnu"))</f>
        <v/>
      </c>
      <c r="F255" s="16"/>
      <c r="G255" s="16"/>
      <c r="H255" s="16"/>
    </row>
    <row r="256" spans="1:8" x14ac:dyDescent="0.25">
      <c r="A256" s="16"/>
      <c r="B256" s="16"/>
      <c r="C256" s="18" t="str">
        <f>IF(B256="","",IFERROR(INDEX(Artistes!$B$2:$B$301,MATCH(B256,Artistes!$A$2:$A$301,0)),"ID inconnu"))</f>
        <v/>
      </c>
      <c r="D256" s="16"/>
      <c r="E256" s="18" t="str">
        <f>IF(D256="","",IFERROR(INDEX(Artistes!$B$2:$B$301,MATCH(D256,Artistes!$A$2:$A$301,0)),"ID inconnu"))</f>
        <v/>
      </c>
      <c r="F256" s="16"/>
      <c r="G256" s="16"/>
      <c r="H256" s="16"/>
    </row>
    <row r="257" spans="1:8" x14ac:dyDescent="0.25">
      <c r="A257" s="16"/>
      <c r="B257" s="16"/>
      <c r="C257" s="18" t="str">
        <f>IF(B257="","",IFERROR(INDEX(Artistes!$B$2:$B$301,MATCH(B257,Artistes!$A$2:$A$301,0)),"ID inconnu"))</f>
        <v/>
      </c>
      <c r="D257" s="16"/>
      <c r="E257" s="18" t="str">
        <f>IF(D257="","",IFERROR(INDEX(Artistes!$B$2:$B$301,MATCH(D257,Artistes!$A$2:$A$301,0)),"ID inconnu"))</f>
        <v/>
      </c>
      <c r="F257" s="16"/>
      <c r="G257" s="16"/>
      <c r="H257" s="16"/>
    </row>
    <row r="258" spans="1:8" x14ac:dyDescent="0.25">
      <c r="A258" s="16"/>
      <c r="B258" s="16"/>
      <c r="C258" s="18" t="str">
        <f>IF(B258="","",IFERROR(INDEX(Artistes!$B$2:$B$301,MATCH(B258,Artistes!$A$2:$A$301,0)),"ID inconnu"))</f>
        <v/>
      </c>
      <c r="D258" s="16"/>
      <c r="E258" s="18" t="str">
        <f>IF(D258="","",IFERROR(INDEX(Artistes!$B$2:$B$301,MATCH(D258,Artistes!$A$2:$A$301,0)),"ID inconnu"))</f>
        <v/>
      </c>
      <c r="F258" s="16"/>
      <c r="G258" s="16"/>
      <c r="H258" s="16"/>
    </row>
    <row r="259" spans="1:8" x14ac:dyDescent="0.25">
      <c r="A259" s="16"/>
      <c r="B259" s="16"/>
      <c r="C259" s="18" t="str">
        <f>IF(B259="","",IFERROR(INDEX(Artistes!$B$2:$B$301,MATCH(B259,Artistes!$A$2:$A$301,0)),"ID inconnu"))</f>
        <v/>
      </c>
      <c r="D259" s="16"/>
      <c r="E259" s="18" t="str">
        <f>IF(D259="","",IFERROR(INDEX(Artistes!$B$2:$B$301,MATCH(D259,Artistes!$A$2:$A$301,0)),"ID inconnu"))</f>
        <v/>
      </c>
      <c r="F259" s="16"/>
      <c r="G259" s="16"/>
      <c r="H259" s="16"/>
    </row>
    <row r="260" spans="1:8" x14ac:dyDescent="0.25">
      <c r="A260" s="16"/>
      <c r="B260" s="16"/>
      <c r="C260" s="18" t="str">
        <f>IF(B260="","",IFERROR(INDEX(Artistes!$B$2:$B$301,MATCH(B260,Artistes!$A$2:$A$301,0)),"ID inconnu"))</f>
        <v/>
      </c>
      <c r="D260" s="16"/>
      <c r="E260" s="18" t="str">
        <f>IF(D260="","",IFERROR(INDEX(Artistes!$B$2:$B$301,MATCH(D260,Artistes!$A$2:$A$301,0)),"ID inconnu"))</f>
        <v/>
      </c>
      <c r="F260" s="16"/>
      <c r="G260" s="16"/>
      <c r="H260" s="16"/>
    </row>
    <row r="261" spans="1:8" x14ac:dyDescent="0.25">
      <c r="A261" s="16"/>
      <c r="B261" s="16"/>
      <c r="C261" s="18" t="str">
        <f>IF(B261="","",IFERROR(INDEX(Artistes!$B$2:$B$301,MATCH(B261,Artistes!$A$2:$A$301,0)),"ID inconnu"))</f>
        <v/>
      </c>
      <c r="D261" s="16"/>
      <c r="E261" s="18" t="str">
        <f>IF(D261="","",IFERROR(INDEX(Artistes!$B$2:$B$301,MATCH(D261,Artistes!$A$2:$A$301,0)),"ID inconnu"))</f>
        <v/>
      </c>
      <c r="F261" s="16"/>
      <c r="G261" s="16"/>
      <c r="H261" s="16"/>
    </row>
    <row r="262" spans="1:8" x14ac:dyDescent="0.25">
      <c r="A262" s="16"/>
      <c r="B262" s="16"/>
      <c r="C262" s="18" t="str">
        <f>IF(B262="","",IFERROR(INDEX(Artistes!$B$2:$B$301,MATCH(B262,Artistes!$A$2:$A$301,0)),"ID inconnu"))</f>
        <v/>
      </c>
      <c r="D262" s="16"/>
      <c r="E262" s="18" t="str">
        <f>IF(D262="","",IFERROR(INDEX(Artistes!$B$2:$B$301,MATCH(D262,Artistes!$A$2:$A$301,0)),"ID inconnu"))</f>
        <v/>
      </c>
      <c r="F262" s="16"/>
      <c r="G262" s="16"/>
      <c r="H262" s="16"/>
    </row>
    <row r="263" spans="1:8" x14ac:dyDescent="0.25">
      <c r="A263" s="16"/>
      <c r="B263" s="16"/>
      <c r="C263" s="18" t="str">
        <f>IF(B263="","",IFERROR(INDEX(Artistes!$B$2:$B$301,MATCH(B263,Artistes!$A$2:$A$301,0)),"ID inconnu"))</f>
        <v/>
      </c>
      <c r="D263" s="16"/>
      <c r="E263" s="18" t="str">
        <f>IF(D263="","",IFERROR(INDEX(Artistes!$B$2:$B$301,MATCH(D263,Artistes!$A$2:$A$301,0)),"ID inconnu"))</f>
        <v/>
      </c>
      <c r="F263" s="16"/>
      <c r="G263" s="16"/>
      <c r="H263" s="16"/>
    </row>
    <row r="264" spans="1:8" x14ac:dyDescent="0.25">
      <c r="A264" s="16"/>
      <c r="B264" s="16"/>
      <c r="C264" s="18" t="str">
        <f>IF(B264="","",IFERROR(INDEX(Artistes!$B$2:$B$301,MATCH(B264,Artistes!$A$2:$A$301,0)),"ID inconnu"))</f>
        <v/>
      </c>
      <c r="D264" s="16"/>
      <c r="E264" s="18" t="str">
        <f>IF(D264="","",IFERROR(INDEX(Artistes!$B$2:$B$301,MATCH(D264,Artistes!$A$2:$A$301,0)),"ID inconnu"))</f>
        <v/>
      </c>
      <c r="F264" s="16"/>
      <c r="G264" s="16"/>
      <c r="H264" s="16"/>
    </row>
    <row r="265" spans="1:8" x14ac:dyDescent="0.25">
      <c r="A265" s="16"/>
      <c r="B265" s="16"/>
      <c r="C265" s="18" t="str">
        <f>IF(B265="","",IFERROR(INDEX(Artistes!$B$2:$B$301,MATCH(B265,Artistes!$A$2:$A$301,0)),"ID inconnu"))</f>
        <v/>
      </c>
      <c r="D265" s="16"/>
      <c r="E265" s="18" t="str">
        <f>IF(D265="","",IFERROR(INDEX(Artistes!$B$2:$B$301,MATCH(D265,Artistes!$A$2:$A$301,0)),"ID inconnu"))</f>
        <v/>
      </c>
      <c r="F265" s="16"/>
      <c r="G265" s="16"/>
      <c r="H265" s="16"/>
    </row>
    <row r="266" spans="1:8" x14ac:dyDescent="0.25">
      <c r="A266" s="16"/>
      <c r="B266" s="16"/>
      <c r="C266" s="18" t="str">
        <f>IF(B266="","",IFERROR(INDEX(Artistes!$B$2:$B$301,MATCH(B266,Artistes!$A$2:$A$301,0)),"ID inconnu"))</f>
        <v/>
      </c>
      <c r="D266" s="16"/>
      <c r="E266" s="18" t="str">
        <f>IF(D266="","",IFERROR(INDEX(Artistes!$B$2:$B$301,MATCH(D266,Artistes!$A$2:$A$301,0)),"ID inconnu"))</f>
        <v/>
      </c>
      <c r="F266" s="16"/>
      <c r="G266" s="16"/>
      <c r="H266" s="16"/>
    </row>
    <row r="267" spans="1:8" x14ac:dyDescent="0.25">
      <c r="A267" s="16"/>
      <c r="B267" s="16"/>
      <c r="C267" s="18" t="str">
        <f>IF(B267="","",IFERROR(INDEX(Artistes!$B$2:$B$301,MATCH(B267,Artistes!$A$2:$A$301,0)),"ID inconnu"))</f>
        <v/>
      </c>
      <c r="D267" s="16"/>
      <c r="E267" s="18" t="str">
        <f>IF(D267="","",IFERROR(INDEX(Artistes!$B$2:$B$301,MATCH(D267,Artistes!$A$2:$A$301,0)),"ID inconnu"))</f>
        <v/>
      </c>
      <c r="F267" s="16"/>
      <c r="G267" s="16"/>
      <c r="H267" s="16"/>
    </row>
    <row r="268" spans="1:8" x14ac:dyDescent="0.25">
      <c r="A268" s="16"/>
      <c r="B268" s="16"/>
      <c r="C268" s="18" t="str">
        <f>IF(B268="","",IFERROR(INDEX(Artistes!$B$2:$B$301,MATCH(B268,Artistes!$A$2:$A$301,0)),"ID inconnu"))</f>
        <v/>
      </c>
      <c r="D268" s="16"/>
      <c r="E268" s="18" t="str">
        <f>IF(D268="","",IFERROR(INDEX(Artistes!$B$2:$B$301,MATCH(D268,Artistes!$A$2:$A$301,0)),"ID inconnu"))</f>
        <v/>
      </c>
      <c r="F268" s="16"/>
      <c r="G268" s="16"/>
      <c r="H268" s="16"/>
    </row>
    <row r="269" spans="1:8" x14ac:dyDescent="0.25">
      <c r="A269" s="16"/>
      <c r="B269" s="16"/>
      <c r="C269" s="18" t="str">
        <f>IF(B269="","",IFERROR(INDEX(Artistes!$B$2:$B$301,MATCH(B269,Artistes!$A$2:$A$301,0)),"ID inconnu"))</f>
        <v/>
      </c>
      <c r="D269" s="16"/>
      <c r="E269" s="18" t="str">
        <f>IF(D269="","",IFERROR(INDEX(Artistes!$B$2:$B$301,MATCH(D269,Artistes!$A$2:$A$301,0)),"ID inconnu"))</f>
        <v/>
      </c>
      <c r="F269" s="16"/>
      <c r="G269" s="16"/>
      <c r="H269" s="16"/>
    </row>
    <row r="270" spans="1:8" x14ac:dyDescent="0.25">
      <c r="A270" s="16"/>
      <c r="B270" s="16"/>
      <c r="C270" s="18" t="str">
        <f>IF(B270="","",IFERROR(INDEX(Artistes!$B$2:$B$301,MATCH(B270,Artistes!$A$2:$A$301,0)),"ID inconnu"))</f>
        <v/>
      </c>
      <c r="D270" s="16"/>
      <c r="E270" s="18" t="str">
        <f>IF(D270="","",IFERROR(INDEX(Artistes!$B$2:$B$301,MATCH(D270,Artistes!$A$2:$A$301,0)),"ID inconnu"))</f>
        <v/>
      </c>
      <c r="F270" s="16"/>
      <c r="G270" s="16"/>
      <c r="H270" s="16"/>
    </row>
    <row r="271" spans="1:8" x14ac:dyDescent="0.25">
      <c r="A271" s="16"/>
      <c r="B271" s="16"/>
      <c r="C271" s="18" t="str">
        <f>IF(B271="","",IFERROR(INDEX(Artistes!$B$2:$B$301,MATCH(B271,Artistes!$A$2:$A$301,0)),"ID inconnu"))</f>
        <v/>
      </c>
      <c r="D271" s="16"/>
      <c r="E271" s="18" t="str">
        <f>IF(D271="","",IFERROR(INDEX(Artistes!$B$2:$B$301,MATCH(D271,Artistes!$A$2:$A$301,0)),"ID inconnu"))</f>
        <v/>
      </c>
      <c r="F271" s="16"/>
      <c r="G271" s="16"/>
      <c r="H271" s="16"/>
    </row>
    <row r="272" spans="1:8" x14ac:dyDescent="0.25">
      <c r="A272" s="16"/>
      <c r="B272" s="16"/>
      <c r="C272" s="18" t="str">
        <f>IF(B272="","",IFERROR(INDEX(Artistes!$B$2:$B$301,MATCH(B272,Artistes!$A$2:$A$301,0)),"ID inconnu"))</f>
        <v/>
      </c>
      <c r="D272" s="16"/>
      <c r="E272" s="18" t="str">
        <f>IF(D272="","",IFERROR(INDEX(Artistes!$B$2:$B$301,MATCH(D272,Artistes!$A$2:$A$301,0)),"ID inconnu"))</f>
        <v/>
      </c>
      <c r="F272" s="16"/>
      <c r="G272" s="16"/>
      <c r="H272" s="16"/>
    </row>
    <row r="273" spans="1:8" x14ac:dyDescent="0.25">
      <c r="A273" s="16"/>
      <c r="B273" s="16"/>
      <c r="C273" s="18" t="str">
        <f>IF(B273="","",IFERROR(INDEX(Artistes!$B$2:$B$301,MATCH(B273,Artistes!$A$2:$A$301,0)),"ID inconnu"))</f>
        <v/>
      </c>
      <c r="D273" s="16"/>
      <c r="E273" s="18" t="str">
        <f>IF(D273="","",IFERROR(INDEX(Artistes!$B$2:$B$301,MATCH(D273,Artistes!$A$2:$A$301,0)),"ID inconnu"))</f>
        <v/>
      </c>
      <c r="F273" s="16"/>
      <c r="G273" s="16"/>
      <c r="H273" s="16"/>
    </row>
    <row r="274" spans="1:8" x14ac:dyDescent="0.25">
      <c r="A274" s="16"/>
      <c r="B274" s="16"/>
      <c r="C274" s="18" t="str">
        <f>IF(B274="","",IFERROR(INDEX(Artistes!$B$2:$B$301,MATCH(B274,Artistes!$A$2:$A$301,0)),"ID inconnu"))</f>
        <v/>
      </c>
      <c r="D274" s="16"/>
      <c r="E274" s="18" t="str">
        <f>IF(D274="","",IFERROR(INDEX(Artistes!$B$2:$B$301,MATCH(D274,Artistes!$A$2:$A$301,0)),"ID inconnu"))</f>
        <v/>
      </c>
      <c r="F274" s="16"/>
      <c r="G274" s="16"/>
      <c r="H274" s="16"/>
    </row>
    <row r="275" spans="1:8" x14ac:dyDescent="0.25">
      <c r="A275" s="16"/>
      <c r="B275" s="16"/>
      <c r="C275" s="18" t="str">
        <f>IF(B275="","",IFERROR(INDEX(Artistes!$B$2:$B$301,MATCH(B275,Artistes!$A$2:$A$301,0)),"ID inconnu"))</f>
        <v/>
      </c>
      <c r="D275" s="16"/>
      <c r="E275" s="18" t="str">
        <f>IF(D275="","",IFERROR(INDEX(Artistes!$B$2:$B$301,MATCH(D275,Artistes!$A$2:$A$301,0)),"ID inconnu"))</f>
        <v/>
      </c>
      <c r="F275" s="16"/>
      <c r="G275" s="16"/>
      <c r="H275" s="16"/>
    </row>
    <row r="276" spans="1:8" x14ac:dyDescent="0.25">
      <c r="A276" s="16"/>
      <c r="B276" s="16"/>
      <c r="C276" s="18" t="str">
        <f>IF(B276="","",IFERROR(INDEX(Artistes!$B$2:$B$301,MATCH(B276,Artistes!$A$2:$A$301,0)),"ID inconnu"))</f>
        <v/>
      </c>
      <c r="D276" s="16"/>
      <c r="E276" s="18" t="str">
        <f>IF(D276="","",IFERROR(INDEX(Artistes!$B$2:$B$301,MATCH(D276,Artistes!$A$2:$A$301,0)),"ID inconnu"))</f>
        <v/>
      </c>
      <c r="F276" s="16"/>
      <c r="G276" s="16"/>
      <c r="H276" s="16"/>
    </row>
    <row r="277" spans="1:8" x14ac:dyDescent="0.25">
      <c r="A277" s="16"/>
      <c r="B277" s="16"/>
      <c r="C277" s="18" t="str">
        <f>IF(B277="","",IFERROR(INDEX(Artistes!$B$2:$B$301,MATCH(B277,Artistes!$A$2:$A$301,0)),"ID inconnu"))</f>
        <v/>
      </c>
      <c r="D277" s="16"/>
      <c r="E277" s="18" t="str">
        <f>IF(D277="","",IFERROR(INDEX(Artistes!$B$2:$B$301,MATCH(D277,Artistes!$A$2:$A$301,0)),"ID inconnu"))</f>
        <v/>
      </c>
      <c r="F277" s="16"/>
      <c r="G277" s="16"/>
      <c r="H277" s="16"/>
    </row>
    <row r="278" spans="1:8" x14ac:dyDescent="0.25">
      <c r="A278" s="16"/>
      <c r="B278" s="16"/>
      <c r="C278" s="18" t="str">
        <f>IF(B278="","",IFERROR(INDEX(Artistes!$B$2:$B$301,MATCH(B278,Artistes!$A$2:$A$301,0)),"ID inconnu"))</f>
        <v/>
      </c>
      <c r="D278" s="16"/>
      <c r="E278" s="18" t="str">
        <f>IF(D278="","",IFERROR(INDEX(Artistes!$B$2:$B$301,MATCH(D278,Artistes!$A$2:$A$301,0)),"ID inconnu"))</f>
        <v/>
      </c>
      <c r="F278" s="16"/>
      <c r="G278" s="16"/>
      <c r="H278" s="16"/>
    </row>
    <row r="279" spans="1:8" x14ac:dyDescent="0.25">
      <c r="A279" s="16"/>
      <c r="B279" s="16"/>
      <c r="C279" s="18" t="str">
        <f>IF(B279="","",IFERROR(INDEX(Artistes!$B$2:$B$301,MATCH(B279,Artistes!$A$2:$A$301,0)),"ID inconnu"))</f>
        <v/>
      </c>
      <c r="D279" s="16"/>
      <c r="E279" s="18" t="str">
        <f>IF(D279="","",IFERROR(INDEX(Artistes!$B$2:$B$301,MATCH(D279,Artistes!$A$2:$A$301,0)),"ID inconnu"))</f>
        <v/>
      </c>
      <c r="F279" s="16"/>
      <c r="G279" s="16"/>
      <c r="H279" s="16"/>
    </row>
    <row r="280" spans="1:8" x14ac:dyDescent="0.25">
      <c r="A280" s="16"/>
      <c r="B280" s="16"/>
      <c r="C280" s="18" t="str">
        <f>IF(B280="","",IFERROR(INDEX(Artistes!$B$2:$B$301,MATCH(B280,Artistes!$A$2:$A$301,0)),"ID inconnu"))</f>
        <v/>
      </c>
      <c r="D280" s="16"/>
      <c r="E280" s="18" t="str">
        <f>IF(D280="","",IFERROR(INDEX(Artistes!$B$2:$B$301,MATCH(D280,Artistes!$A$2:$A$301,0)),"ID inconnu"))</f>
        <v/>
      </c>
      <c r="F280" s="16"/>
      <c r="G280" s="16"/>
      <c r="H280" s="16"/>
    </row>
    <row r="281" spans="1:8" x14ac:dyDescent="0.25">
      <c r="A281" s="16"/>
      <c r="B281" s="16"/>
      <c r="C281" s="18" t="str">
        <f>IF(B281="","",IFERROR(INDEX(Artistes!$B$2:$B$301,MATCH(B281,Artistes!$A$2:$A$301,0)),"ID inconnu"))</f>
        <v/>
      </c>
      <c r="D281" s="16"/>
      <c r="E281" s="18" t="str">
        <f>IF(D281="","",IFERROR(INDEX(Artistes!$B$2:$B$301,MATCH(D281,Artistes!$A$2:$A$301,0)),"ID inconnu"))</f>
        <v/>
      </c>
      <c r="F281" s="16"/>
      <c r="G281" s="16"/>
      <c r="H281" s="16"/>
    </row>
    <row r="282" spans="1:8" x14ac:dyDescent="0.25">
      <c r="A282" s="16"/>
      <c r="B282" s="16"/>
      <c r="C282" s="18" t="str">
        <f>IF(B282="","",IFERROR(INDEX(Artistes!$B$2:$B$301,MATCH(B282,Artistes!$A$2:$A$301,0)),"ID inconnu"))</f>
        <v/>
      </c>
      <c r="D282" s="16"/>
      <c r="E282" s="18" t="str">
        <f>IF(D282="","",IFERROR(INDEX(Artistes!$B$2:$B$301,MATCH(D282,Artistes!$A$2:$A$301,0)),"ID inconnu"))</f>
        <v/>
      </c>
      <c r="F282" s="16"/>
      <c r="G282" s="16"/>
      <c r="H282" s="16"/>
    </row>
    <row r="283" spans="1:8" x14ac:dyDescent="0.25">
      <c r="A283" s="16"/>
      <c r="B283" s="16"/>
      <c r="C283" s="18" t="str">
        <f>IF(B283="","",IFERROR(INDEX(Artistes!$B$2:$B$301,MATCH(B283,Artistes!$A$2:$A$301,0)),"ID inconnu"))</f>
        <v/>
      </c>
      <c r="D283" s="16"/>
      <c r="E283" s="18" t="str">
        <f>IF(D283="","",IFERROR(INDEX(Artistes!$B$2:$B$301,MATCH(D283,Artistes!$A$2:$A$301,0)),"ID inconnu"))</f>
        <v/>
      </c>
      <c r="F283" s="16"/>
      <c r="G283" s="16"/>
      <c r="H283" s="16"/>
    </row>
    <row r="284" spans="1:8" x14ac:dyDescent="0.25">
      <c r="A284" s="16"/>
      <c r="B284" s="16"/>
      <c r="C284" s="18" t="str">
        <f>IF(B284="","",IFERROR(INDEX(Artistes!$B$2:$B$301,MATCH(B284,Artistes!$A$2:$A$301,0)),"ID inconnu"))</f>
        <v/>
      </c>
      <c r="D284" s="16"/>
      <c r="E284" s="18" t="str">
        <f>IF(D284="","",IFERROR(INDEX(Artistes!$B$2:$B$301,MATCH(D284,Artistes!$A$2:$A$301,0)),"ID inconnu"))</f>
        <v/>
      </c>
      <c r="F284" s="16"/>
      <c r="G284" s="16"/>
      <c r="H284" s="16"/>
    </row>
    <row r="285" spans="1:8" x14ac:dyDescent="0.25">
      <c r="A285" s="16"/>
      <c r="B285" s="16"/>
      <c r="C285" s="18" t="str">
        <f>IF(B285="","",IFERROR(INDEX(Artistes!$B$2:$B$301,MATCH(B285,Artistes!$A$2:$A$301,0)),"ID inconnu"))</f>
        <v/>
      </c>
      <c r="D285" s="16"/>
      <c r="E285" s="18" t="str">
        <f>IF(D285="","",IFERROR(INDEX(Artistes!$B$2:$B$301,MATCH(D285,Artistes!$A$2:$A$301,0)),"ID inconnu"))</f>
        <v/>
      </c>
      <c r="F285" s="16"/>
      <c r="G285" s="16"/>
      <c r="H285" s="16"/>
    </row>
    <row r="286" spans="1:8" x14ac:dyDescent="0.25">
      <c r="A286" s="16"/>
      <c r="B286" s="16"/>
      <c r="C286" s="18" t="str">
        <f>IF(B286="","",IFERROR(INDEX(Artistes!$B$2:$B$301,MATCH(B286,Artistes!$A$2:$A$301,0)),"ID inconnu"))</f>
        <v/>
      </c>
      <c r="D286" s="16"/>
      <c r="E286" s="18" t="str">
        <f>IF(D286="","",IFERROR(INDEX(Artistes!$B$2:$B$301,MATCH(D286,Artistes!$A$2:$A$301,0)),"ID inconnu"))</f>
        <v/>
      </c>
      <c r="F286" s="16"/>
      <c r="G286" s="16"/>
      <c r="H286" s="16"/>
    </row>
    <row r="287" spans="1:8" x14ac:dyDescent="0.25">
      <c r="A287" s="16"/>
      <c r="B287" s="16"/>
      <c r="C287" s="18" t="str">
        <f>IF(B287="","",IFERROR(INDEX(Artistes!$B$2:$B$301,MATCH(B287,Artistes!$A$2:$A$301,0)),"ID inconnu"))</f>
        <v/>
      </c>
      <c r="D287" s="16"/>
      <c r="E287" s="18" t="str">
        <f>IF(D287="","",IFERROR(INDEX(Artistes!$B$2:$B$301,MATCH(D287,Artistes!$A$2:$A$301,0)),"ID inconnu"))</f>
        <v/>
      </c>
      <c r="F287" s="16"/>
      <c r="G287" s="16"/>
      <c r="H287" s="16"/>
    </row>
    <row r="288" spans="1:8" x14ac:dyDescent="0.25">
      <c r="A288" s="16"/>
      <c r="B288" s="16"/>
      <c r="C288" s="18" t="str">
        <f>IF(B288="","",IFERROR(INDEX(Artistes!$B$2:$B$301,MATCH(B288,Artistes!$A$2:$A$301,0)),"ID inconnu"))</f>
        <v/>
      </c>
      <c r="D288" s="16"/>
      <c r="E288" s="18" t="str">
        <f>IF(D288="","",IFERROR(INDEX(Artistes!$B$2:$B$301,MATCH(D288,Artistes!$A$2:$A$301,0)),"ID inconnu"))</f>
        <v/>
      </c>
      <c r="F288" s="16"/>
      <c r="G288" s="16"/>
      <c r="H288" s="16"/>
    </row>
    <row r="289" spans="1:8" x14ac:dyDescent="0.25">
      <c r="A289" s="16"/>
      <c r="B289" s="16"/>
      <c r="C289" s="18" t="str">
        <f>IF(B289="","",IFERROR(INDEX(Artistes!$B$2:$B$301,MATCH(B289,Artistes!$A$2:$A$301,0)),"ID inconnu"))</f>
        <v/>
      </c>
      <c r="D289" s="16"/>
      <c r="E289" s="18" t="str">
        <f>IF(D289="","",IFERROR(INDEX(Artistes!$B$2:$B$301,MATCH(D289,Artistes!$A$2:$A$301,0)),"ID inconnu"))</f>
        <v/>
      </c>
      <c r="F289" s="16"/>
      <c r="G289" s="16"/>
      <c r="H289" s="16"/>
    </row>
    <row r="290" spans="1:8" x14ac:dyDescent="0.25">
      <c r="A290" s="16"/>
      <c r="B290" s="16"/>
      <c r="C290" s="18" t="str">
        <f>IF(B290="","",IFERROR(INDEX(Artistes!$B$2:$B$301,MATCH(B290,Artistes!$A$2:$A$301,0)),"ID inconnu"))</f>
        <v/>
      </c>
      <c r="D290" s="16"/>
      <c r="E290" s="18" t="str">
        <f>IF(D290="","",IFERROR(INDEX(Artistes!$B$2:$B$301,MATCH(D290,Artistes!$A$2:$A$301,0)),"ID inconnu"))</f>
        <v/>
      </c>
      <c r="F290" s="16"/>
      <c r="G290" s="16"/>
      <c r="H290" s="16"/>
    </row>
    <row r="291" spans="1:8" x14ac:dyDescent="0.25">
      <c r="A291" s="16"/>
      <c r="B291" s="16"/>
      <c r="C291" s="18" t="str">
        <f>IF(B291="","",IFERROR(INDEX(Artistes!$B$2:$B$301,MATCH(B291,Artistes!$A$2:$A$301,0)),"ID inconnu"))</f>
        <v/>
      </c>
      <c r="D291" s="16"/>
      <c r="E291" s="18" t="str">
        <f>IF(D291="","",IFERROR(INDEX(Artistes!$B$2:$B$301,MATCH(D291,Artistes!$A$2:$A$301,0)),"ID inconnu"))</f>
        <v/>
      </c>
      <c r="F291" s="16"/>
      <c r="G291" s="16"/>
      <c r="H291" s="16"/>
    </row>
    <row r="292" spans="1:8" x14ac:dyDescent="0.25">
      <c r="A292" s="16"/>
      <c r="B292" s="16"/>
      <c r="C292" s="18" t="str">
        <f>IF(B292="","",IFERROR(INDEX(Artistes!$B$2:$B$301,MATCH(B292,Artistes!$A$2:$A$301,0)),"ID inconnu"))</f>
        <v/>
      </c>
      <c r="D292" s="16"/>
      <c r="E292" s="18" t="str">
        <f>IF(D292="","",IFERROR(INDEX(Artistes!$B$2:$B$301,MATCH(D292,Artistes!$A$2:$A$301,0)),"ID inconnu"))</f>
        <v/>
      </c>
      <c r="F292" s="16"/>
      <c r="G292" s="16"/>
      <c r="H292" s="16"/>
    </row>
    <row r="293" spans="1:8" x14ac:dyDescent="0.25">
      <c r="A293" s="16"/>
      <c r="B293" s="16"/>
      <c r="C293" s="18" t="str">
        <f>IF(B293="","",IFERROR(INDEX(Artistes!$B$2:$B$301,MATCH(B293,Artistes!$A$2:$A$301,0)),"ID inconnu"))</f>
        <v/>
      </c>
      <c r="D293" s="16"/>
      <c r="E293" s="18" t="str">
        <f>IF(D293="","",IFERROR(INDEX(Artistes!$B$2:$B$301,MATCH(D293,Artistes!$A$2:$A$301,0)),"ID inconnu"))</f>
        <v/>
      </c>
      <c r="F293" s="16"/>
      <c r="G293" s="16"/>
      <c r="H293" s="16"/>
    </row>
    <row r="294" spans="1:8" x14ac:dyDescent="0.25">
      <c r="A294" s="16"/>
      <c r="B294" s="16"/>
      <c r="C294" s="18" t="str">
        <f>IF(B294="","",IFERROR(INDEX(Artistes!$B$2:$B$301,MATCH(B294,Artistes!$A$2:$A$301,0)),"ID inconnu"))</f>
        <v/>
      </c>
      <c r="D294" s="16"/>
      <c r="E294" s="18" t="str">
        <f>IF(D294="","",IFERROR(INDEX(Artistes!$B$2:$B$301,MATCH(D294,Artistes!$A$2:$A$301,0)),"ID inconnu"))</f>
        <v/>
      </c>
      <c r="F294" s="16"/>
      <c r="G294" s="16"/>
      <c r="H294" s="16"/>
    </row>
    <row r="295" spans="1:8" x14ac:dyDescent="0.25">
      <c r="A295" s="16"/>
      <c r="B295" s="16"/>
      <c r="C295" s="18" t="str">
        <f>IF(B295="","",IFERROR(INDEX(Artistes!$B$2:$B$301,MATCH(B295,Artistes!$A$2:$A$301,0)),"ID inconnu"))</f>
        <v/>
      </c>
      <c r="D295" s="16"/>
      <c r="E295" s="18" t="str">
        <f>IF(D295="","",IFERROR(INDEX(Artistes!$B$2:$B$301,MATCH(D295,Artistes!$A$2:$A$301,0)),"ID inconnu"))</f>
        <v/>
      </c>
      <c r="F295" s="16"/>
      <c r="G295" s="16"/>
      <c r="H295" s="16"/>
    </row>
    <row r="296" spans="1:8" x14ac:dyDescent="0.25">
      <c r="A296" s="16"/>
      <c r="B296" s="16"/>
      <c r="C296" s="18" t="str">
        <f>IF(B296="","",IFERROR(INDEX(Artistes!$B$2:$B$301,MATCH(B296,Artistes!$A$2:$A$301,0)),"ID inconnu"))</f>
        <v/>
      </c>
      <c r="D296" s="16"/>
      <c r="E296" s="18" t="str">
        <f>IF(D296="","",IFERROR(INDEX(Artistes!$B$2:$B$301,MATCH(D296,Artistes!$A$2:$A$301,0)),"ID inconnu"))</f>
        <v/>
      </c>
      <c r="F296" s="16"/>
      <c r="G296" s="16"/>
      <c r="H296" s="16"/>
    </row>
    <row r="297" spans="1:8" x14ac:dyDescent="0.25">
      <c r="A297" s="16"/>
      <c r="B297" s="16"/>
      <c r="C297" s="18" t="str">
        <f>IF(B297="","",IFERROR(INDEX(Artistes!$B$2:$B$301,MATCH(B297,Artistes!$A$2:$A$301,0)),"ID inconnu"))</f>
        <v/>
      </c>
      <c r="D297" s="16"/>
      <c r="E297" s="18" t="str">
        <f>IF(D297="","",IFERROR(INDEX(Artistes!$B$2:$B$301,MATCH(D297,Artistes!$A$2:$A$301,0)),"ID inconnu"))</f>
        <v/>
      </c>
      <c r="F297" s="16"/>
      <c r="G297" s="16"/>
      <c r="H297" s="16"/>
    </row>
    <row r="298" spans="1:8" x14ac:dyDescent="0.25">
      <c r="A298" s="16"/>
      <c r="B298" s="16"/>
      <c r="C298" s="18" t="str">
        <f>IF(B298="","",IFERROR(INDEX(Artistes!$B$2:$B$301,MATCH(B298,Artistes!$A$2:$A$301,0)),"ID inconnu"))</f>
        <v/>
      </c>
      <c r="D298" s="16"/>
      <c r="E298" s="18" t="str">
        <f>IF(D298="","",IFERROR(INDEX(Artistes!$B$2:$B$301,MATCH(D298,Artistes!$A$2:$A$301,0)),"ID inconnu"))</f>
        <v/>
      </c>
      <c r="F298" s="16"/>
      <c r="G298" s="16"/>
      <c r="H298" s="16"/>
    </row>
    <row r="299" spans="1:8" x14ac:dyDescent="0.25">
      <c r="A299" s="16"/>
      <c r="B299" s="16"/>
      <c r="C299" s="18" t="str">
        <f>IF(B299="","",IFERROR(INDEX(Artistes!$B$2:$B$301,MATCH(B299,Artistes!$A$2:$A$301,0)),"ID inconnu"))</f>
        <v/>
      </c>
      <c r="D299" s="16"/>
      <c r="E299" s="18" t="str">
        <f>IF(D299="","",IFERROR(INDEX(Artistes!$B$2:$B$301,MATCH(D299,Artistes!$A$2:$A$301,0)),"ID inconnu"))</f>
        <v/>
      </c>
      <c r="F299" s="16"/>
      <c r="G299" s="16"/>
      <c r="H299" s="16"/>
    </row>
    <row r="300" spans="1:8" x14ac:dyDescent="0.25">
      <c r="A300" s="16"/>
      <c r="B300" s="16"/>
      <c r="C300" s="18" t="str">
        <f>IF(B300="","",IFERROR(INDEX(Artistes!$B$2:$B$301,MATCH(B300,Artistes!$A$2:$A$301,0)),"ID inconnu"))</f>
        <v/>
      </c>
      <c r="D300" s="16"/>
      <c r="E300" s="18" t="str">
        <f>IF(D300="","",IFERROR(INDEX(Artistes!$B$2:$B$301,MATCH(D300,Artistes!$A$2:$A$301,0)),"ID inconnu"))</f>
        <v/>
      </c>
      <c r="F300" s="16"/>
      <c r="G300" s="16"/>
      <c r="H300" s="16"/>
    </row>
    <row r="301" spans="1:8" x14ac:dyDescent="0.25">
      <c r="A301" s="16"/>
      <c r="B301" s="16"/>
      <c r="C301" s="18" t="str">
        <f>IF(B301="","",IFERROR(INDEX(Artistes!$B$2:$B$301,MATCH(B301,Artistes!$A$2:$A$301,0)),"ID inconnu"))</f>
        <v/>
      </c>
      <c r="D301" s="16"/>
      <c r="E301" s="18" t="str">
        <f>IF(D301="","",IFERROR(INDEX(Artistes!$B$2:$B$301,MATCH(D301,Artistes!$A$2:$A$301,0)),"ID inconnu"))</f>
        <v/>
      </c>
      <c r="F301" s="16"/>
      <c r="G301" s="16"/>
      <c r="H301" s="16"/>
    </row>
  </sheetData>
  <autoFilter ref="A1:H301" xr:uid="{00000000-0009-0000-0000-000005000000}"/>
  <dataValidations count="1">
    <dataValidation type="list" allowBlank="1" showErrorMessage="1" errorTitle="Valeur inconnue" error="Choisis une valeur de la liste." sqref="F2:F301" xr:uid="{00000000-0002-0000-0500-000002000000}">
      <formula1>"influence,collaboration,rivalité,maître-élève"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errorTitle="Valeur inconnue" error="Choisis une valeur de la liste." xr:uid="{00000000-0002-0000-0500-000000000000}">
          <x14:formula1>
            <xm:f>Artistes!$A$2:$A$301</xm:f>
          </x14:formula1>
          <x14:formula2>
            <xm:f>0</xm:f>
          </x14:formula2>
          <xm:sqref>B2:B301 D2:D301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Lisez-moi</vt:lpstr>
      <vt:lpstr>Mouvements</vt:lpstr>
      <vt:lpstr>Artistes</vt:lpstr>
      <vt:lpstr>Œuvres</vt:lpstr>
      <vt:lpstr>Événements</vt:lpstr>
      <vt:lpstr>Influences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Térence JIMBLET</cp:lastModifiedBy>
  <cp:revision>0</cp:revision>
  <dcterms:created xsi:type="dcterms:W3CDTF">2026-10-29T10:05:15Z</dcterms:created>
  <dcterms:modified xsi:type="dcterms:W3CDTF">2026-10-29T17:49:39Z</dcterms:modified>
  <dc:language>en-US</dc:language>
</cp:coreProperties>
</file>